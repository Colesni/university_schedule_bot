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wnload-G\"/>
    </mc:Choice>
  </mc:AlternateContent>
  <xr:revisionPtr revIDLastSave="0" documentId="13_ncr:1_{9992EF1C-4794-43E7-BC4B-1B0237F4463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orar" sheetId="1" r:id="rId1"/>
  </sheets>
  <definedNames>
    <definedName name="lecti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K123" i="1"/>
  <c r="C123" i="1"/>
  <c r="K122" i="1"/>
  <c r="C122" i="1"/>
  <c r="K121" i="1"/>
  <c r="H121" i="1"/>
  <c r="E121" i="1"/>
  <c r="D121" i="1"/>
  <c r="C121" i="1"/>
  <c r="K120" i="1"/>
  <c r="I120" i="1"/>
  <c r="H120" i="1"/>
  <c r="E120" i="1"/>
  <c r="D120" i="1"/>
  <c r="C120" i="1"/>
  <c r="K119" i="1"/>
  <c r="I119" i="1"/>
  <c r="H119" i="1"/>
  <c r="G119" i="1"/>
  <c r="F119" i="1"/>
  <c r="E119" i="1"/>
  <c r="D119" i="1"/>
  <c r="C119" i="1"/>
  <c r="L118" i="1"/>
  <c r="K118" i="1"/>
  <c r="I118" i="1"/>
  <c r="H118" i="1"/>
  <c r="G118" i="1"/>
  <c r="F118" i="1"/>
  <c r="E118" i="1"/>
  <c r="D118" i="1"/>
  <c r="C118" i="1"/>
  <c r="B118" i="1"/>
  <c r="K117" i="1"/>
  <c r="J117" i="1"/>
  <c r="I117" i="1"/>
  <c r="F117" i="1"/>
  <c r="C117" i="1"/>
  <c r="K116" i="1"/>
  <c r="J116" i="1"/>
  <c r="H116" i="1"/>
  <c r="F116" i="1"/>
  <c r="C116" i="1"/>
  <c r="L115" i="1"/>
  <c r="K115" i="1"/>
  <c r="H115" i="1"/>
  <c r="F115" i="1"/>
  <c r="D115" i="1"/>
  <c r="C115" i="1"/>
  <c r="B115" i="1"/>
  <c r="K114" i="1"/>
  <c r="J114" i="1"/>
  <c r="I114" i="1"/>
  <c r="H114" i="1"/>
  <c r="G114" i="1"/>
  <c r="F114" i="1"/>
  <c r="E114" i="1"/>
  <c r="D114" i="1"/>
  <c r="C114" i="1"/>
  <c r="K113" i="1"/>
  <c r="J113" i="1"/>
  <c r="I113" i="1"/>
  <c r="H113" i="1"/>
  <c r="G113" i="1"/>
  <c r="F113" i="1"/>
  <c r="E113" i="1"/>
  <c r="D113" i="1"/>
  <c r="C113" i="1"/>
  <c r="K112" i="1"/>
  <c r="H112" i="1"/>
  <c r="F112" i="1"/>
  <c r="D112" i="1"/>
  <c r="C112" i="1"/>
  <c r="L111" i="1"/>
  <c r="K111" i="1"/>
  <c r="C111" i="1"/>
  <c r="B111" i="1"/>
  <c r="K110" i="1"/>
  <c r="C110" i="1"/>
  <c r="K109" i="1"/>
  <c r="C109" i="1"/>
  <c r="L108" i="1"/>
  <c r="K108" i="1"/>
  <c r="C108" i="1"/>
  <c r="B108" i="1"/>
  <c r="K107" i="1"/>
  <c r="J107" i="1"/>
  <c r="I107" i="1"/>
  <c r="H107" i="1"/>
  <c r="G107" i="1"/>
  <c r="E107" i="1"/>
  <c r="C107" i="1"/>
  <c r="K106" i="1"/>
  <c r="I106" i="1"/>
  <c r="H106" i="1"/>
  <c r="G106" i="1"/>
  <c r="F106" i="1"/>
  <c r="E106" i="1"/>
  <c r="C106" i="1"/>
  <c r="K105" i="1"/>
  <c r="I105" i="1"/>
  <c r="H105" i="1"/>
  <c r="F105" i="1"/>
  <c r="D105" i="1"/>
  <c r="C105" i="1"/>
  <c r="L104" i="1"/>
  <c r="K104" i="1"/>
  <c r="C104" i="1"/>
  <c r="B104" i="1"/>
  <c r="K103" i="1"/>
  <c r="J103" i="1"/>
  <c r="H103" i="1"/>
  <c r="G103" i="1"/>
  <c r="F103" i="1"/>
  <c r="E103" i="1"/>
  <c r="C103" i="1"/>
  <c r="K102" i="1"/>
  <c r="J102" i="1"/>
  <c r="H102" i="1"/>
  <c r="G102" i="1"/>
  <c r="F102" i="1"/>
  <c r="E102" i="1"/>
  <c r="C102" i="1"/>
  <c r="L101" i="1"/>
  <c r="K101" i="1"/>
  <c r="H101" i="1"/>
  <c r="F101" i="1"/>
  <c r="C101" i="1"/>
  <c r="B101" i="1"/>
  <c r="K97" i="1"/>
  <c r="C97" i="1"/>
  <c r="K96" i="1"/>
  <c r="C96" i="1"/>
  <c r="K95" i="1"/>
  <c r="C95" i="1"/>
  <c r="K94" i="1"/>
  <c r="C94" i="1"/>
  <c r="K93" i="1"/>
  <c r="H93" i="1"/>
  <c r="C93" i="1"/>
  <c r="L92" i="1"/>
  <c r="K92" i="1"/>
  <c r="H92" i="1"/>
  <c r="C92" i="1"/>
  <c r="B92" i="1"/>
  <c r="K91" i="1"/>
  <c r="C91" i="1"/>
  <c r="K90" i="1"/>
  <c r="D90" i="1"/>
  <c r="C90" i="1"/>
  <c r="K89" i="1"/>
  <c r="I89" i="1"/>
  <c r="H89" i="1"/>
  <c r="E89" i="1"/>
  <c r="D89" i="1"/>
  <c r="C89" i="1"/>
  <c r="K88" i="1"/>
  <c r="I88" i="1"/>
  <c r="H88" i="1"/>
  <c r="E88" i="1"/>
  <c r="D88" i="1"/>
  <c r="C88" i="1"/>
  <c r="K87" i="1"/>
  <c r="I87" i="1"/>
  <c r="H87" i="1"/>
  <c r="G87" i="1"/>
  <c r="F87" i="1"/>
  <c r="E87" i="1"/>
  <c r="D87" i="1"/>
  <c r="C87" i="1"/>
  <c r="L86" i="1"/>
  <c r="K86" i="1"/>
  <c r="I86" i="1"/>
  <c r="H86" i="1"/>
  <c r="G86" i="1"/>
  <c r="F86" i="1"/>
  <c r="E86" i="1"/>
  <c r="D86" i="1"/>
  <c r="C86" i="1"/>
  <c r="B86" i="1"/>
  <c r="K85" i="1"/>
  <c r="J85" i="1"/>
  <c r="I85" i="1"/>
  <c r="H85" i="1"/>
  <c r="G85" i="1"/>
  <c r="F85" i="1"/>
  <c r="E85" i="1"/>
  <c r="C85" i="1"/>
  <c r="K84" i="1"/>
  <c r="I84" i="1"/>
  <c r="H84" i="1"/>
  <c r="G84" i="1"/>
  <c r="F84" i="1"/>
  <c r="E84" i="1"/>
  <c r="C84" i="1"/>
  <c r="L83" i="1"/>
  <c r="K83" i="1"/>
  <c r="I83" i="1"/>
  <c r="H83" i="1"/>
  <c r="G83" i="1"/>
  <c r="D83" i="1"/>
  <c r="C83" i="1"/>
  <c r="B83" i="1"/>
  <c r="K82" i="1"/>
  <c r="J82" i="1"/>
  <c r="H82" i="1"/>
  <c r="F82" i="1"/>
  <c r="C82" i="1"/>
  <c r="K81" i="1"/>
  <c r="J81" i="1"/>
  <c r="H81" i="1"/>
  <c r="F81" i="1"/>
  <c r="D81" i="1"/>
  <c r="C81" i="1"/>
  <c r="K80" i="1"/>
  <c r="H80" i="1"/>
  <c r="F80" i="1"/>
  <c r="D80" i="1"/>
  <c r="C80" i="1"/>
  <c r="L79" i="1"/>
  <c r="K79" i="1"/>
  <c r="C79" i="1"/>
  <c r="B79" i="1"/>
  <c r="K78" i="1"/>
  <c r="J78" i="1"/>
  <c r="I78" i="1"/>
  <c r="G78" i="1"/>
  <c r="F78" i="1"/>
  <c r="E78" i="1"/>
  <c r="C78" i="1"/>
  <c r="K77" i="1"/>
  <c r="J77" i="1"/>
  <c r="H77" i="1"/>
  <c r="G77" i="1"/>
  <c r="F77" i="1"/>
  <c r="E77" i="1"/>
  <c r="C77" i="1"/>
  <c r="L76" i="1"/>
  <c r="K76" i="1"/>
  <c r="H76" i="1"/>
  <c r="G76" i="1"/>
  <c r="F76" i="1"/>
  <c r="E76" i="1"/>
  <c r="C76" i="1"/>
  <c r="B76" i="1"/>
  <c r="K75" i="1"/>
  <c r="J75" i="1"/>
  <c r="I75" i="1"/>
  <c r="G75" i="1"/>
  <c r="F75" i="1"/>
  <c r="E75" i="1"/>
  <c r="D75" i="1"/>
  <c r="C75" i="1"/>
  <c r="K74" i="1"/>
  <c r="I74" i="1"/>
  <c r="H74" i="1"/>
  <c r="G74" i="1"/>
  <c r="F74" i="1"/>
  <c r="E74" i="1"/>
  <c r="D74" i="1"/>
  <c r="C74" i="1"/>
  <c r="K73" i="1"/>
  <c r="H73" i="1"/>
  <c r="G73" i="1"/>
  <c r="E73" i="1"/>
  <c r="D73" i="1"/>
  <c r="C73" i="1"/>
  <c r="L72" i="1"/>
  <c r="K72" i="1"/>
  <c r="C72" i="1"/>
  <c r="B72" i="1"/>
  <c r="K71" i="1"/>
  <c r="I71" i="1"/>
  <c r="H71" i="1"/>
  <c r="G71" i="1"/>
  <c r="F71" i="1"/>
  <c r="E71" i="1"/>
  <c r="C71" i="1"/>
  <c r="K70" i="1"/>
  <c r="I70" i="1"/>
  <c r="H70" i="1"/>
  <c r="G70" i="1"/>
  <c r="F70" i="1"/>
  <c r="E70" i="1"/>
  <c r="C70" i="1"/>
  <c r="L69" i="1"/>
  <c r="K69" i="1"/>
  <c r="I69" i="1"/>
  <c r="H69" i="1"/>
  <c r="G69" i="1"/>
  <c r="E69" i="1"/>
  <c r="C69" i="1"/>
  <c r="B69" i="1"/>
  <c r="K65" i="1"/>
  <c r="C65" i="1"/>
  <c r="K64" i="1"/>
  <c r="C64" i="1"/>
  <c r="K63" i="1"/>
  <c r="I63" i="1"/>
  <c r="H63" i="1"/>
  <c r="C63" i="1"/>
  <c r="K62" i="1"/>
  <c r="I62" i="1"/>
  <c r="H62" i="1"/>
  <c r="C62" i="1"/>
  <c r="K61" i="1"/>
  <c r="I61" i="1"/>
  <c r="H61" i="1"/>
  <c r="C61" i="1"/>
  <c r="L60" i="1"/>
  <c r="K60" i="1"/>
  <c r="I60" i="1"/>
  <c r="H60" i="1"/>
  <c r="C60" i="1"/>
  <c r="B60" i="1"/>
  <c r="K59" i="1"/>
  <c r="D59" i="1"/>
  <c r="C59" i="1"/>
  <c r="K58" i="1"/>
  <c r="D58" i="1"/>
  <c r="C58" i="1"/>
  <c r="K57" i="1"/>
  <c r="I57" i="1"/>
  <c r="H57" i="1"/>
  <c r="G57" i="1"/>
  <c r="E57" i="1"/>
  <c r="D57" i="1"/>
  <c r="C57" i="1"/>
  <c r="K56" i="1"/>
  <c r="I56" i="1"/>
  <c r="H56" i="1"/>
  <c r="G56" i="1"/>
  <c r="E56" i="1"/>
  <c r="D56" i="1"/>
  <c r="C56" i="1"/>
  <c r="K55" i="1"/>
  <c r="J55" i="1"/>
  <c r="I55" i="1"/>
  <c r="H55" i="1"/>
  <c r="G55" i="1"/>
  <c r="F55" i="1"/>
  <c r="E55" i="1"/>
  <c r="D55" i="1"/>
  <c r="C55" i="1"/>
  <c r="L54" i="1"/>
  <c r="K54" i="1"/>
  <c r="J54" i="1"/>
  <c r="I54" i="1"/>
  <c r="H54" i="1"/>
  <c r="G54" i="1"/>
  <c r="F54" i="1"/>
  <c r="E54" i="1"/>
  <c r="D54" i="1"/>
  <c r="C54" i="1"/>
  <c r="B54" i="1"/>
  <c r="K53" i="1"/>
  <c r="J53" i="1"/>
  <c r="G53" i="1"/>
  <c r="F53" i="1"/>
  <c r="E53" i="1"/>
  <c r="C53" i="1"/>
  <c r="K52" i="1"/>
  <c r="I52" i="1"/>
  <c r="H52" i="1"/>
  <c r="G52" i="1"/>
  <c r="F52" i="1"/>
  <c r="E52" i="1"/>
  <c r="C52" i="1"/>
  <c r="L51" i="1"/>
  <c r="K51" i="1"/>
  <c r="I51" i="1"/>
  <c r="H51" i="1"/>
  <c r="G51" i="1"/>
  <c r="F51" i="1"/>
  <c r="D51" i="1"/>
  <c r="C51" i="1"/>
  <c r="B51" i="1"/>
  <c r="K50" i="1"/>
  <c r="J50" i="1"/>
  <c r="F50" i="1"/>
  <c r="C50" i="1"/>
  <c r="K49" i="1"/>
  <c r="J49" i="1"/>
  <c r="G49" i="1"/>
  <c r="F49" i="1"/>
  <c r="E49" i="1"/>
  <c r="D49" i="1"/>
  <c r="C49" i="1"/>
  <c r="K48" i="1"/>
  <c r="G48" i="1"/>
  <c r="F48" i="1"/>
  <c r="E48" i="1"/>
  <c r="D48" i="1"/>
  <c r="C48" i="1"/>
  <c r="L47" i="1"/>
  <c r="K47" i="1"/>
  <c r="C47" i="1"/>
  <c r="B47" i="1"/>
  <c r="K46" i="1"/>
  <c r="J46" i="1"/>
  <c r="I46" i="1"/>
  <c r="G46" i="1"/>
  <c r="F46" i="1"/>
  <c r="E46" i="1"/>
  <c r="C46" i="1"/>
  <c r="K45" i="1"/>
  <c r="J45" i="1"/>
  <c r="H45" i="1"/>
  <c r="G45" i="1"/>
  <c r="F45" i="1"/>
  <c r="E45" i="1"/>
  <c r="C45" i="1"/>
  <c r="L44" i="1"/>
  <c r="K44" i="1"/>
  <c r="H44" i="1"/>
  <c r="G44" i="1"/>
  <c r="C44" i="1"/>
  <c r="B44" i="1"/>
  <c r="K43" i="1"/>
  <c r="J43" i="1"/>
  <c r="I43" i="1"/>
  <c r="H43" i="1"/>
  <c r="G43" i="1"/>
  <c r="F43" i="1"/>
  <c r="E43" i="1"/>
  <c r="D43" i="1"/>
  <c r="C43" i="1"/>
  <c r="K42" i="1"/>
  <c r="I42" i="1"/>
  <c r="H42" i="1"/>
  <c r="G42" i="1"/>
  <c r="F42" i="1"/>
  <c r="E42" i="1"/>
  <c r="D42" i="1"/>
  <c r="C42" i="1"/>
  <c r="K41" i="1"/>
  <c r="H41" i="1"/>
  <c r="E41" i="1"/>
  <c r="D41" i="1"/>
  <c r="C41" i="1"/>
  <c r="L40" i="1"/>
  <c r="K40" i="1"/>
  <c r="C40" i="1"/>
  <c r="B40" i="1"/>
  <c r="K39" i="1"/>
  <c r="J39" i="1"/>
  <c r="I39" i="1"/>
  <c r="H39" i="1"/>
  <c r="C39" i="1"/>
  <c r="K38" i="1"/>
  <c r="J38" i="1"/>
  <c r="I38" i="1"/>
  <c r="H38" i="1"/>
  <c r="G38" i="1"/>
  <c r="F38" i="1"/>
  <c r="E38" i="1"/>
  <c r="C38" i="1"/>
  <c r="L37" i="1"/>
  <c r="K37" i="1"/>
  <c r="G37" i="1"/>
  <c r="F37" i="1"/>
  <c r="E37" i="1"/>
  <c r="C37" i="1"/>
  <c r="B37" i="1"/>
  <c r="K33" i="1"/>
  <c r="C33" i="1"/>
  <c r="K32" i="1"/>
  <c r="C32" i="1"/>
  <c r="K31" i="1"/>
  <c r="I31" i="1"/>
  <c r="H31" i="1"/>
  <c r="C31" i="1"/>
  <c r="K30" i="1"/>
  <c r="I30" i="1"/>
  <c r="H30" i="1"/>
  <c r="C30" i="1"/>
  <c r="K29" i="1"/>
  <c r="I29" i="1"/>
  <c r="H29" i="1"/>
  <c r="C29" i="1"/>
  <c r="L28" i="1"/>
  <c r="K28" i="1"/>
  <c r="I28" i="1"/>
  <c r="H28" i="1"/>
  <c r="C28" i="1"/>
  <c r="B28" i="1"/>
  <c r="K27" i="1"/>
  <c r="C27" i="1"/>
  <c r="K26" i="1"/>
  <c r="D26" i="1"/>
  <c r="C26" i="1"/>
  <c r="K25" i="1"/>
  <c r="I25" i="1"/>
  <c r="H25" i="1"/>
  <c r="G25" i="1"/>
  <c r="F25" i="1"/>
  <c r="E25" i="1"/>
  <c r="D25" i="1"/>
  <c r="C25" i="1"/>
  <c r="K24" i="1"/>
  <c r="I24" i="1"/>
  <c r="H24" i="1"/>
  <c r="G24" i="1"/>
  <c r="F24" i="1"/>
  <c r="E24" i="1"/>
  <c r="D24" i="1"/>
  <c r="C24" i="1"/>
  <c r="K23" i="1"/>
  <c r="I23" i="1"/>
  <c r="H23" i="1"/>
  <c r="G23" i="1"/>
  <c r="F23" i="1"/>
  <c r="E23" i="1"/>
  <c r="D23" i="1"/>
  <c r="C23" i="1"/>
  <c r="L22" i="1"/>
  <c r="K22" i="1"/>
  <c r="I22" i="1"/>
  <c r="H22" i="1"/>
  <c r="G22" i="1"/>
  <c r="F22" i="1"/>
  <c r="E22" i="1"/>
  <c r="D22" i="1"/>
  <c r="C22" i="1"/>
  <c r="B22" i="1"/>
  <c r="K21" i="1"/>
  <c r="J21" i="1"/>
  <c r="I21" i="1"/>
  <c r="H21" i="1"/>
  <c r="G21" i="1"/>
  <c r="F21" i="1"/>
  <c r="E21" i="1"/>
  <c r="D21" i="1"/>
  <c r="C21" i="1"/>
  <c r="K20" i="1"/>
  <c r="J20" i="1"/>
  <c r="I20" i="1"/>
  <c r="H20" i="1"/>
  <c r="G20" i="1"/>
  <c r="F20" i="1"/>
  <c r="E20" i="1"/>
  <c r="D20" i="1"/>
  <c r="C20" i="1"/>
  <c r="L19" i="1"/>
  <c r="K19" i="1"/>
  <c r="H19" i="1"/>
  <c r="F19" i="1"/>
  <c r="E19" i="1"/>
  <c r="D19" i="1"/>
  <c r="C19" i="1"/>
  <c r="B19" i="1"/>
  <c r="K18" i="1"/>
  <c r="J18" i="1"/>
  <c r="I18" i="1"/>
  <c r="H18" i="1"/>
  <c r="G18" i="1"/>
  <c r="F18" i="1"/>
  <c r="E18" i="1"/>
  <c r="C18" i="1"/>
  <c r="K17" i="1"/>
  <c r="J17" i="1"/>
  <c r="H17" i="1"/>
  <c r="G17" i="1"/>
  <c r="F17" i="1"/>
  <c r="E17" i="1"/>
  <c r="D17" i="1"/>
  <c r="C17" i="1"/>
  <c r="K16" i="1"/>
  <c r="E16" i="1"/>
  <c r="D16" i="1"/>
  <c r="C16" i="1"/>
  <c r="L15" i="1"/>
  <c r="K15" i="1"/>
  <c r="C15" i="1"/>
  <c r="B15" i="1"/>
  <c r="K14" i="1"/>
  <c r="J14" i="1"/>
  <c r="I14" i="1"/>
  <c r="H14" i="1"/>
  <c r="G14" i="1"/>
  <c r="F14" i="1"/>
  <c r="E14" i="1"/>
  <c r="C14" i="1"/>
  <c r="K13" i="1"/>
  <c r="J13" i="1"/>
  <c r="I13" i="1"/>
  <c r="H13" i="1"/>
  <c r="G13" i="1"/>
  <c r="F13" i="1"/>
  <c r="E13" i="1"/>
  <c r="C13" i="1"/>
  <c r="L12" i="1"/>
  <c r="K12" i="1"/>
  <c r="H12" i="1"/>
  <c r="G12" i="1"/>
  <c r="F12" i="1"/>
  <c r="E12" i="1"/>
  <c r="C12" i="1"/>
  <c r="B12" i="1"/>
  <c r="K11" i="1"/>
  <c r="J11" i="1"/>
  <c r="H11" i="1"/>
  <c r="G11" i="1"/>
  <c r="F11" i="1"/>
  <c r="E11" i="1"/>
  <c r="D11" i="1"/>
  <c r="C11" i="1"/>
  <c r="K10" i="1"/>
  <c r="H10" i="1"/>
  <c r="G10" i="1"/>
  <c r="F10" i="1"/>
  <c r="E10" i="1"/>
  <c r="D10" i="1"/>
  <c r="C10" i="1"/>
  <c r="K9" i="1"/>
  <c r="H9" i="1"/>
  <c r="F9" i="1"/>
  <c r="D9" i="1"/>
  <c r="C9" i="1"/>
  <c r="L8" i="1"/>
  <c r="K8" i="1"/>
  <c r="C8" i="1"/>
  <c r="B8" i="1"/>
  <c r="K7" i="1"/>
  <c r="H7" i="1"/>
  <c r="G7" i="1"/>
  <c r="E7" i="1"/>
  <c r="C7" i="1"/>
  <c r="K6" i="1"/>
  <c r="H6" i="1"/>
  <c r="G6" i="1"/>
  <c r="F6" i="1"/>
  <c r="E6" i="1"/>
  <c r="C6" i="1"/>
  <c r="L5" i="1"/>
  <c r="K5" i="1"/>
  <c r="G5" i="1"/>
  <c r="F5" i="1"/>
  <c r="E5" i="1"/>
  <c r="C5" i="1"/>
  <c r="J4" i="1"/>
  <c r="I4" i="1"/>
  <c r="H4" i="1"/>
  <c r="G4" i="1"/>
  <c r="F4" i="1"/>
  <c r="E4" i="1"/>
  <c r="D4" i="1"/>
  <c r="J3" i="1"/>
  <c r="I3" i="1"/>
  <c r="H3" i="1"/>
  <c r="G3" i="1"/>
  <c r="F3" i="1"/>
  <c r="E3" i="1"/>
  <c r="D3" i="1"/>
  <c r="I2" i="1"/>
  <c r="D2" i="1"/>
  <c r="I1" i="1"/>
  <c r="E1" i="1"/>
  <c r="B1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3"/>
      <color theme="1"/>
      <name val="Times New Roman"/>
    </font>
    <font>
      <b/>
      <sz val="9"/>
      <color theme="1"/>
      <name val="Times New Roman"/>
    </font>
    <font>
      <b/>
      <sz val="15"/>
      <color theme="1"/>
      <name val="Arial"/>
    </font>
    <font>
      <b/>
      <sz val="9"/>
      <color theme="1"/>
      <name val="Arial"/>
    </font>
    <font>
      <sz val="10"/>
      <color theme="1"/>
      <name val="Arial"/>
      <scheme val="minor"/>
    </font>
    <font>
      <b/>
      <sz val="13"/>
      <color rgb="FF000000"/>
      <name val="Times New Roman"/>
    </font>
    <font>
      <sz val="10"/>
      <name val="Arial"/>
    </font>
    <font>
      <sz val="13"/>
      <color rgb="FF000000"/>
      <name val="Times New Roman"/>
    </font>
    <font>
      <sz val="13"/>
      <color theme="1"/>
      <name val="Times New Roman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6" tint="0.39997558519241921"/>
        <bgColor rgb="FFFFFFFF"/>
      </patternFill>
    </fill>
    <fill>
      <patternFill patternType="solid">
        <fgColor theme="6" tint="0.39997558519241921"/>
        <bgColor indexed="64"/>
      </patternFill>
    </fill>
  </fills>
  <borders count="63"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0">
    <xf numFmtId="0" fontId="0" fillId="0" borderId="0" xfId="0"/>
    <xf numFmtId="0" fontId="1" fillId="0" borderId="0" xfId="0" applyFont="1" applyAlignment="1">
      <alignment vertical="top" wrapText="1"/>
    </xf>
    <xf numFmtId="0" fontId="5" fillId="0" borderId="0" xfId="0" applyFont="1"/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9" fillId="2" borderId="33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/>
    </xf>
    <xf numFmtId="0" fontId="8" fillId="2" borderId="35" xfId="0" applyFont="1" applyFill="1" applyBorder="1" applyAlignment="1">
      <alignment horizontal="center" vertical="center" wrapText="1"/>
    </xf>
    <xf numFmtId="0" fontId="5" fillId="0" borderId="33" xfId="0" applyFont="1" applyBorder="1"/>
    <xf numFmtId="0" fontId="8" fillId="2" borderId="27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9" fillId="0" borderId="31" xfId="0" applyFont="1" applyBorder="1" applyAlignment="1">
      <alignment horizontal="center" wrapText="1"/>
    </xf>
    <xf numFmtId="0" fontId="9" fillId="2" borderId="37" xfId="0" applyFont="1" applyFill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9" fillId="2" borderId="38" xfId="0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 wrapText="1"/>
    </xf>
    <xf numFmtId="0" fontId="5" fillId="0" borderId="39" xfId="0" applyFont="1" applyBorder="1"/>
    <xf numFmtId="0" fontId="8" fillId="2" borderId="25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0" fontId="8" fillId="2" borderId="44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2" borderId="46" xfId="0" applyFont="1" applyFill="1" applyBorder="1" applyAlignment="1">
      <alignment horizontal="center" vertical="center"/>
    </xf>
    <xf numFmtId="0" fontId="8" fillId="2" borderId="47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8" fillId="2" borderId="4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50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wrapText="1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5" fillId="0" borderId="12" xfId="0" applyFont="1" applyBorder="1"/>
    <xf numFmtId="0" fontId="1" fillId="2" borderId="0" xfId="0" applyFont="1" applyFill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8" fillId="2" borderId="53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/>
    </xf>
    <xf numFmtId="0" fontId="8" fillId="2" borderId="54" xfId="0" applyFont="1" applyFill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/>
    </xf>
    <xf numFmtId="0" fontId="5" fillId="0" borderId="35" xfId="0" applyFont="1" applyBorder="1"/>
    <xf numFmtId="0" fontId="9" fillId="2" borderId="45" xfId="0" applyFont="1" applyFill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5" fillId="0" borderId="31" xfId="0" applyFont="1" applyBorder="1"/>
    <xf numFmtId="0" fontId="9" fillId="2" borderId="36" xfId="0" applyFont="1" applyFill="1" applyBorder="1" applyAlignment="1">
      <alignment horizontal="center" vertical="center" wrapText="1"/>
    </xf>
    <xf numFmtId="0" fontId="5" fillId="0" borderId="51" xfId="0" applyFont="1" applyBorder="1"/>
    <xf numFmtId="0" fontId="9" fillId="2" borderId="27" xfId="0" applyFont="1" applyFill="1" applyBorder="1" applyAlignment="1">
      <alignment horizontal="center" vertical="center"/>
    </xf>
    <xf numFmtId="0" fontId="6" fillId="2" borderId="55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 vertical="center"/>
    </xf>
    <xf numFmtId="0" fontId="9" fillId="2" borderId="56" xfId="0" applyFont="1" applyFill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 wrapText="1"/>
    </xf>
    <xf numFmtId="0" fontId="5" fillId="0" borderId="59" xfId="0" applyFont="1" applyBorder="1"/>
    <xf numFmtId="0" fontId="9" fillId="2" borderId="57" xfId="0" applyFont="1" applyFill="1" applyBorder="1" applyAlignment="1">
      <alignment horizontal="center" vertical="center"/>
    </xf>
    <xf numFmtId="0" fontId="9" fillId="2" borderId="58" xfId="0" applyFont="1" applyFill="1" applyBorder="1" applyAlignment="1">
      <alignment horizontal="center" vertical="center"/>
    </xf>
    <xf numFmtId="0" fontId="9" fillId="0" borderId="60" xfId="0" applyFont="1" applyBorder="1" applyAlignment="1">
      <alignment horizontal="center" vertical="center"/>
    </xf>
    <xf numFmtId="0" fontId="9" fillId="2" borderId="61" xfId="0" applyFont="1" applyFill="1" applyBorder="1" applyAlignment="1">
      <alignment horizontal="center" vertical="center"/>
    </xf>
    <xf numFmtId="0" fontId="5" fillId="0" borderId="13" xfId="0" applyFont="1" applyBorder="1"/>
    <xf numFmtId="0" fontId="9" fillId="0" borderId="22" xfId="0" applyFont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9" fillId="2" borderId="33" xfId="0" applyFont="1" applyFill="1" applyBorder="1" applyAlignment="1">
      <alignment horizontal="center" vertical="center"/>
    </xf>
    <xf numFmtId="0" fontId="9" fillId="2" borderId="45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6" fillId="2" borderId="62" xfId="0" applyFont="1" applyFill="1" applyBorder="1" applyAlignment="1">
      <alignment horizontal="center"/>
    </xf>
    <xf numFmtId="0" fontId="8" fillId="2" borderId="57" xfId="0" applyFont="1" applyFill="1" applyBorder="1" applyAlignment="1">
      <alignment horizontal="center" vertical="center" wrapText="1"/>
    </xf>
    <xf numFmtId="0" fontId="9" fillId="2" borderId="60" xfId="0" applyFont="1" applyFill="1" applyBorder="1" applyAlignment="1">
      <alignment horizontal="center" vertical="center"/>
    </xf>
    <xf numFmtId="0" fontId="5" fillId="0" borderId="1" xfId="0" applyFont="1" applyBorder="1"/>
    <xf numFmtId="0" fontId="9" fillId="2" borderId="5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 wrapText="1"/>
    </xf>
    <xf numFmtId="0" fontId="5" fillId="0" borderId="52" xfId="0" applyFont="1" applyBorder="1"/>
    <xf numFmtId="0" fontId="9" fillId="0" borderId="25" xfId="0" applyFont="1" applyBorder="1" applyAlignment="1">
      <alignment horizontal="center" vertical="center"/>
    </xf>
    <xf numFmtId="0" fontId="5" fillId="0" borderId="30" xfId="0" applyFont="1" applyBorder="1"/>
    <xf numFmtId="0" fontId="10" fillId="2" borderId="22" xfId="0" applyFont="1" applyFill="1" applyBorder="1"/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/>
    </xf>
    <xf numFmtId="0" fontId="7" fillId="0" borderId="23" xfId="0" applyFont="1" applyBorder="1"/>
    <xf numFmtId="0" fontId="7" fillId="0" borderId="28" xfId="0" applyFont="1" applyBorder="1"/>
    <xf numFmtId="0" fontId="1" fillId="0" borderId="19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7" fillId="0" borderId="20" xfId="0" applyFont="1" applyBorder="1"/>
    <xf numFmtId="0" fontId="7" fillId="0" borderId="24" xfId="0" applyFont="1" applyBorder="1"/>
    <xf numFmtId="0" fontId="1" fillId="0" borderId="16" xfId="0" applyFont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right" vertical="top" wrapText="1"/>
    </xf>
    <xf numFmtId="0" fontId="6" fillId="2" borderId="0" xfId="0" applyFont="1" applyFill="1" applyAlignment="1">
      <alignment horizontal="center" vertical="center"/>
    </xf>
    <xf numFmtId="0" fontId="7" fillId="0" borderId="1" xfId="0" applyFont="1" applyBorder="1"/>
    <xf numFmtId="0" fontId="7" fillId="0" borderId="5" xfId="0" applyFont="1" applyBorder="1"/>
    <xf numFmtId="0" fontId="7" fillId="0" borderId="6" xfId="0" applyFont="1" applyBorder="1"/>
    <xf numFmtId="0" fontId="6" fillId="2" borderId="2" xfId="0" applyFont="1" applyFill="1" applyBorder="1" applyAlignment="1">
      <alignment horizontal="center" vertical="center" wrapText="1"/>
    </xf>
    <xf numFmtId="0" fontId="7" fillId="0" borderId="3" xfId="0" applyFont="1" applyBorder="1"/>
    <xf numFmtId="0" fontId="7" fillId="0" borderId="4" xfId="0" applyFont="1" applyBorder="1"/>
    <xf numFmtId="0" fontId="6" fillId="2" borderId="19" xfId="0" applyFont="1" applyFill="1" applyBorder="1" applyAlignment="1">
      <alignment horizontal="center" vertical="center"/>
    </xf>
    <xf numFmtId="0" fontId="7" fillId="0" borderId="51" xfId="0" applyFont="1" applyBorder="1"/>
    <xf numFmtId="0" fontId="7" fillId="0" borderId="52" xfId="0" applyFont="1" applyBorder="1"/>
    <xf numFmtId="0" fontId="5" fillId="0" borderId="3" xfId="0" applyFont="1" applyBorder="1"/>
    <xf numFmtId="0" fontId="5" fillId="0" borderId="4" xfId="0" applyFont="1" applyBorder="1"/>
    <xf numFmtId="0" fontId="6" fillId="2" borderId="16" xfId="0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7" fillId="0" borderId="43" xfId="0" applyFont="1" applyBorder="1"/>
    <xf numFmtId="0" fontId="7" fillId="0" borderId="49" xfId="0" applyFont="1" applyBorder="1"/>
    <xf numFmtId="0" fontId="6" fillId="3" borderId="7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9" fillId="3" borderId="2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 wrapText="1"/>
    </xf>
    <xf numFmtId="0" fontId="8" fillId="3" borderId="26" xfId="0" applyFont="1" applyFill="1" applyBorder="1" applyAlignment="1">
      <alignment horizontal="center" vertical="center" wrapText="1"/>
    </xf>
    <xf numFmtId="0" fontId="9" fillId="4" borderId="31" xfId="0" applyFont="1" applyFill="1" applyBorder="1" applyAlignment="1">
      <alignment horizontal="center" wrapText="1"/>
    </xf>
    <xf numFmtId="0" fontId="8" fillId="3" borderId="30" xfId="0" applyFont="1" applyFill="1" applyBorder="1" applyAlignment="1">
      <alignment horizontal="center" vertical="center" wrapText="1"/>
    </xf>
    <xf numFmtId="0" fontId="8" fillId="3" borderId="31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6" fillId="3" borderId="7" xfId="0" applyFont="1" applyFill="1" applyBorder="1" applyAlignment="1">
      <alignment horizontal="center"/>
    </xf>
    <xf numFmtId="0" fontId="9" fillId="3" borderId="30" xfId="0" applyFont="1" applyFill="1" applyBorder="1" applyAlignment="1">
      <alignment horizontal="center" vertical="center"/>
    </xf>
    <xf numFmtId="0" fontId="9" fillId="3" borderId="31" xfId="0" applyFont="1" applyFill="1" applyBorder="1" applyAlignment="1">
      <alignment horizontal="center" vertical="center"/>
    </xf>
    <xf numFmtId="0" fontId="5" fillId="4" borderId="31" xfId="0" applyFont="1" applyFill="1" applyBorder="1"/>
    <xf numFmtId="0" fontId="5" fillId="4" borderId="54" xfId="0" applyFont="1" applyFill="1" applyBorder="1"/>
    <xf numFmtId="0" fontId="9" fillId="3" borderId="56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9" fillId="3" borderId="27" xfId="0" applyFont="1" applyFill="1" applyBorder="1" applyAlignment="1">
      <alignment horizontal="center" vertical="center"/>
    </xf>
    <xf numFmtId="0" fontId="5" fillId="3" borderId="59" xfId="0" applyFont="1" applyFill="1" applyBorder="1"/>
    <xf numFmtId="0" fontId="9" fillId="4" borderId="30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/>
    </xf>
    <xf numFmtId="0" fontId="9" fillId="4" borderId="45" xfId="0" applyFont="1" applyFill="1" applyBorder="1" applyAlignment="1">
      <alignment horizontal="center" vertical="center"/>
    </xf>
    <xf numFmtId="0" fontId="8" fillId="4" borderId="31" xfId="0" applyFont="1" applyFill="1" applyBorder="1" applyAlignment="1">
      <alignment horizontal="center" vertical="center" wrapText="1"/>
    </xf>
    <xf numFmtId="0" fontId="8" fillId="4" borderId="26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10" fillId="3" borderId="22" xfId="0" applyFont="1" applyFill="1" applyBorder="1"/>
    <xf numFmtId="0" fontId="5" fillId="3" borderId="0" xfId="0" applyFont="1" applyFill="1" applyAlignment="1">
      <alignment horizontal="center" vertical="center" wrapText="1"/>
    </xf>
    <xf numFmtId="0" fontId="0" fillId="4" borderId="0" xfId="0" applyFill="1"/>
  </cellXfs>
  <cellStyles count="1">
    <cellStyle name="Normal" xfId="0" builtinId="0"/>
  </cellStyles>
  <dxfs count="7"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30"/>
  <sheetViews>
    <sheetView tabSelected="1" topLeftCell="B1" zoomScale="71" zoomScaleNormal="58" workbookViewId="0">
      <pane ySplit="3" topLeftCell="A46" activePane="bottomLeft" state="frozen"/>
      <selection pane="bottomLeft" activeCell="E52" sqref="E52"/>
    </sheetView>
  </sheetViews>
  <sheetFormatPr defaultColWidth="12.6640625" defaultRowHeight="15.75" customHeight="1" outlineLevelRow="1" x14ac:dyDescent="0.25"/>
  <cols>
    <col min="1" max="1" width="11.77734375" hidden="1" customWidth="1"/>
    <col min="2" max="2" width="40.109375" customWidth="1"/>
    <col min="3" max="3" width="29.21875" customWidth="1"/>
    <col min="4" max="4" width="34" customWidth="1"/>
    <col min="5" max="5" width="40.33203125" style="199" customWidth="1"/>
    <col min="6" max="6" width="32.21875" customWidth="1"/>
    <col min="7" max="7" width="41.6640625" customWidth="1"/>
    <col min="8" max="8" width="45.88671875" customWidth="1"/>
    <col min="9" max="9" width="41.5546875" customWidth="1"/>
    <col min="10" max="10" width="26.44140625" customWidth="1"/>
    <col min="11" max="11" width="18.33203125" customWidth="1"/>
    <col min="12" max="12" width="21.33203125" customWidth="1"/>
  </cols>
  <sheetData>
    <row r="1" spans="1:12" ht="71.25" customHeight="1" x14ac:dyDescent="0.25">
      <c r="A1" s="1" t="str">
        <f ca="1">IFERROR(__xludf.DUMMYFUNCTION("importrange(""1WC3ec5Mt9TaeDA7LZqhyHecUgUDl8YehImj4Ro42-xg"",""sem_I!a1:l123"")
"),"")</f>
        <v/>
      </c>
      <c r="B1" s="147" t="str">
        <f ca="1">IFERROR(__xludf.DUMMYFUNCTION("""COMPUTED_VALUE"""),"APROB
Prorector pentru 
activitatea didactică şi studenţească
doctor habilitat, profesor universitar
Georgeta STEPANOV________________ 
CONTRASEMNAT
Șef Departament Studii
Doctor, conferențiar universitar 
Mariana TOACĂ_________________")</f>
        <v>APROB
Prorector pentru 
activitatea didactică şi studenţească
doctor habilitat, profesor universitar
Georgeta STEPANOV________________ 
CONTRASEMNAT
Șef Departament Studii
Doctor, conferențiar universitar 
Mariana TOACĂ_________________</v>
      </c>
      <c r="C1" s="148"/>
      <c r="D1" s="148"/>
      <c r="E1" s="149" t="str">
        <f ca="1">IFERROR(__xludf.DUMMYFUNCTION("""COMPUTED_VALUE"""),"ORARUL SESIUNII DE INSTRUIRE
FACULTATEA MATEMATICĂ ȘI INFORMATICĂ
CICLUL I, LICENȚĂ
(învățămînt cu frecvență redusă)
21.09.2026 - 18.10.2026")</f>
        <v>ORARUL SESIUNII DE INSTRUIRE
FACULTATEA MATEMATICĂ ȘI INFORMATICĂ
CICLUL I, LICENȚĂ
(învățămînt cu frecvență redusă)
21.09.2026 - 18.10.2026</v>
      </c>
      <c r="F1" s="148"/>
      <c r="G1" s="148"/>
      <c r="H1" s="148"/>
      <c r="I1" s="150" t="str">
        <f ca="1">IFERROR(__xludf.DUMMYFUNCTION("""COMPUTED_VALUE"""),"APROB
Decan
doctor, conferențiar universitar
__________ Angela Niculiță
")</f>
        <v xml:space="preserve">APROB
Decan
doctor, conferențiar universitar
__________ Angela Niculiță
</v>
      </c>
      <c r="J1" s="148"/>
      <c r="K1" s="2"/>
      <c r="L1" s="3"/>
    </row>
    <row r="2" spans="1:12" ht="16.8" x14ac:dyDescent="0.25">
      <c r="A2" s="4"/>
      <c r="B2" s="151"/>
      <c r="C2" s="152"/>
      <c r="D2" s="155" t="str">
        <f ca="1">IFERROR(__xludf.DUMMYFUNCTION("""COMPUTED_VALUE"""),"Anul II")</f>
        <v>Anul II</v>
      </c>
      <c r="E2" s="156"/>
      <c r="F2" s="156"/>
      <c r="G2" s="156"/>
      <c r="H2" s="157"/>
      <c r="I2" s="155" t="str">
        <f ca="1">IFERROR(__xludf.DUMMYFUNCTION("""COMPUTED_VALUE"""),"Anul IV")</f>
        <v>Anul IV</v>
      </c>
      <c r="J2" s="157"/>
      <c r="K2" s="2"/>
      <c r="L2" s="4"/>
    </row>
    <row r="3" spans="1:12" ht="16.8" x14ac:dyDescent="0.25">
      <c r="A3" s="4"/>
      <c r="B3" s="153"/>
      <c r="C3" s="154"/>
      <c r="D3" s="5" t="str">
        <f ca="1">IFERROR(__xludf.DUMMYFUNCTION("""COMPUTED_VALUE"""),"MFR2501")</f>
        <v>MFR2501</v>
      </c>
      <c r="E3" s="167" t="str">
        <f ca="1">IFERROR(__xludf.DUMMYFUNCTION("""COMPUTED_VALUE"""),"IAFR2501")</f>
        <v>IAFR2501</v>
      </c>
      <c r="F3" s="6" t="str">
        <f ca="1">IFERROR(__xludf.DUMMYFUNCTION("""COMPUTED_VALUE"""),"IAFR2502")</f>
        <v>IAFR2502</v>
      </c>
      <c r="G3" s="6" t="str">
        <f ca="1">IFERROR(__xludf.DUMMYFUNCTION("""COMPUTED_VALUE"""),"IȘEFR2501")</f>
        <v>IȘEFR2501</v>
      </c>
      <c r="H3" s="7" t="str">
        <f ca="1">IFERROR(__xludf.DUMMYFUNCTION("""COMPUTED_VALUE"""),"IAFR2503 R")</f>
        <v>IAFR2503 R</v>
      </c>
      <c r="I3" s="5" t="str">
        <f ca="1">IFERROR(__xludf.DUMMYFUNCTION("""COMPUTED_VALUE"""),"IAFR2301")</f>
        <v>IAFR2301</v>
      </c>
      <c r="J3" s="8" t="str">
        <f ca="1">IFERROR(__xludf.DUMMYFUNCTION("""COMPUTED_VALUE"""),"IAFR2302 R")</f>
        <v>IAFR2302 R</v>
      </c>
      <c r="K3" s="2"/>
      <c r="L3" s="2"/>
    </row>
    <row r="4" spans="1:12" ht="22.5" hidden="1" customHeight="1" x14ac:dyDescent="0.25">
      <c r="A4" s="4"/>
      <c r="B4" s="9"/>
      <c r="C4" s="10"/>
      <c r="D4" s="11" t="str">
        <f ca="1">IFERROR(__xludf.DUMMYFUNCTION("""COMPUTED_VALUE"""),"2 (1sg)")</f>
        <v>2 (1sg)</v>
      </c>
      <c r="E4" s="168" t="str">
        <f ca="1">IFERROR(__xludf.DUMMYFUNCTION("""COMPUTED_VALUE"""),"17 (1sg)")</f>
        <v>17 (1sg)</v>
      </c>
      <c r="F4" s="12" t="str">
        <f ca="1">IFERROR(__xludf.DUMMYFUNCTION("""COMPUTED_VALUE"""),"28 (1sg)")</f>
        <v>28 (1sg)</v>
      </c>
      <c r="G4" s="12" t="str">
        <f ca="1">IFERROR(__xludf.DUMMYFUNCTION("""COMPUTED_VALUE"""),"6 (1 sg.)")</f>
        <v>6 (1 sg.)</v>
      </c>
      <c r="H4" s="13" t="str">
        <f ca="1">IFERROR(__xludf.DUMMYFUNCTION("""COMPUTED_VALUE"""),"29 (2 sg.)")</f>
        <v>29 (2 sg.)</v>
      </c>
      <c r="I4" s="11" t="str">
        <f ca="1">IFERROR(__xludf.DUMMYFUNCTION("""COMPUTED_VALUE"""),"37 (2 sg.)")</f>
        <v>37 (2 sg.)</v>
      </c>
      <c r="J4" s="14" t="str">
        <f ca="1">IFERROR(__xludf.DUMMYFUNCTION("""COMPUTED_VALUE"""),"21 (1 sg.)")</f>
        <v>21 (1 sg.)</v>
      </c>
      <c r="K4" s="15"/>
      <c r="L4" s="4"/>
    </row>
    <row r="5" spans="1:12" ht="50.4" x14ac:dyDescent="0.25">
      <c r="A5" s="4"/>
      <c r="B5" s="163" t="str">
        <f ca="1">IFERROR(__xludf.DUMMYFUNCTION("""COMPUTED_VALUE"""),"Luni,
21.09.2026")</f>
        <v>Luni,
21.09.2026</v>
      </c>
      <c r="C5" s="16" t="str">
        <f ca="1">IFERROR(__xludf.DUMMYFUNCTION("""COMPUTED_VALUE""")," I
15:00-16:30")</f>
        <v xml:space="preserve"> I
15:00-16:30</v>
      </c>
      <c r="D5" s="17"/>
      <c r="E5" s="169" t="str">
        <f ca="1">IFERROR(__xludf.DUMMYFUNCTION("""COMPUTED_VALUE"""),"Mat. discr graf. (prel), 
A. Niculiță, 122/4")</f>
        <v>Mat. discr graf. (prel), 
A. Niculiță, 122/4</v>
      </c>
      <c r="F5" s="18" t="str">
        <f ca="1">IFERROR(__xludf.DUMMYFUNCTION("""COMPUTED_VALUE"""),"Mat. discr graf. (prel), 
A. Niculiță, 122/4")</f>
        <v>Mat. discr graf. (prel), 
A. Niculiță, 122/4</v>
      </c>
      <c r="G5" s="18" t="str">
        <f ca="1">IFERROR(__xludf.DUMMYFUNCTION("""COMPUTED_VALUE"""),"Mat. discr graf. (prel), 
A. Niculiță, 122/4")</f>
        <v>Mat. discr graf. (prel), 
A. Niculiță, 122/4</v>
      </c>
      <c r="H5" s="19"/>
      <c r="I5" s="17"/>
      <c r="J5" s="20"/>
      <c r="K5" s="16" t="str">
        <f ca="1">IFERROR(__xludf.DUMMYFUNCTION("""COMPUTED_VALUE""")," I
15:00-16:30")</f>
        <v xml:space="preserve"> I
15:00-16:30</v>
      </c>
      <c r="L5" s="158" t="str">
        <f ca="1">IFERROR(__xludf.DUMMYFUNCTION("""COMPUTED_VALUE"""),"Luni,
21.09.2026")</f>
        <v>Luni,
21.09.2026</v>
      </c>
    </row>
    <row r="6" spans="1:12" ht="50.4" x14ac:dyDescent="0.25">
      <c r="A6" s="4"/>
      <c r="B6" s="144"/>
      <c r="C6" s="21" t="str">
        <f ca="1">IFERROR(__xludf.DUMMYFUNCTION("""COMPUTED_VALUE""")," II
16:45-18:15")</f>
        <v xml:space="preserve"> II
16:45-18:15</v>
      </c>
      <c r="D6" s="22"/>
      <c r="E6" s="170" t="str">
        <f ca="1">IFERROR(__xludf.DUMMYFUNCTION("""COMPUTED_VALUE"""),"Mat. discr graf. (prel), 
A. Niculiță, 122/4")</f>
        <v>Mat. discr graf. (prel), 
A. Niculiță, 122/4</v>
      </c>
      <c r="F6" s="23" t="str">
        <f ca="1">IFERROR(__xludf.DUMMYFUNCTION("""COMPUTED_VALUE"""),"Mat. discr graf. (prel), 
A. Niculiță, 122/4")</f>
        <v>Mat. discr graf. (prel), 
A. Niculiță, 122/4</v>
      </c>
      <c r="G6" s="23" t="str">
        <f ca="1">IFERROR(__xludf.DUMMYFUNCTION("""COMPUTED_VALUE"""),"Mat. discr graf. (prel), 
A. Niculiță, 122/4")</f>
        <v>Mat. discr graf. (prel), 
A. Niculiță, 122/4</v>
      </c>
      <c r="H6" s="24" t="str">
        <f ca="1">IFERROR(__xludf.DUMMYFUNCTION("""COMPUTED_VALUE"""),"Etica prof și acad (prel), 
M. Marin, 214/4")</f>
        <v>Etica prof și acad (prel), 
M. Marin, 214/4</v>
      </c>
      <c r="I6" s="25"/>
      <c r="J6" s="24"/>
      <c r="K6" s="21" t="str">
        <f ca="1">IFERROR(__xludf.DUMMYFUNCTION("""COMPUTED_VALUE""")," II
16:45-18:15")</f>
        <v xml:space="preserve"> II
16:45-18:15</v>
      </c>
      <c r="L6" s="140"/>
    </row>
    <row r="7" spans="1:12" ht="35.4" customHeight="1" x14ac:dyDescent="0.25">
      <c r="A7" s="4"/>
      <c r="B7" s="145"/>
      <c r="C7" s="26" t="str">
        <f ca="1">IFERROR(__xludf.DUMMYFUNCTION("""COMPUTED_VALUE"""),"III
18:30-20:00")</f>
        <v>III
18:30-20:00</v>
      </c>
      <c r="D7" s="27"/>
      <c r="E7" s="171" t="str">
        <f ca="1">IFERROR(__xludf.DUMMYFUNCTION("""COMPUTED_VALUE"""),"Mat. discr log. (sem), 
I. Cucu, 415/4")</f>
        <v>Mat. discr log. (sem), 
I. Cucu, 415/4</v>
      </c>
      <c r="F7" s="29"/>
      <c r="G7" s="28" t="str">
        <f ca="1">IFERROR(__xludf.DUMMYFUNCTION("""COMPUTED_VALUE"""),"Mat. discr log. (sem), 
I. Cucu, 415/4")</f>
        <v>Mat. discr log. (sem), 
I. Cucu, 415/4</v>
      </c>
      <c r="H7" s="26" t="str">
        <f ca="1">IFERROR(__xludf.DUMMYFUNCTION("""COMPUTED_VALUE"""),"Etica prof și acad (prel), 
M. Marin, 214/4")</f>
        <v>Etica prof și acad (prel), 
M. Marin, 214/4</v>
      </c>
      <c r="I7" s="27"/>
      <c r="J7" s="26"/>
      <c r="K7" s="26" t="str">
        <f ca="1">IFERROR(__xludf.DUMMYFUNCTION("""COMPUTED_VALUE"""),"III
18:30-20:00")</f>
        <v>III
18:30-20:00</v>
      </c>
      <c r="L7" s="141"/>
    </row>
    <row r="8" spans="1:12" ht="48.6" customHeight="1" x14ac:dyDescent="0.25">
      <c r="A8" s="4"/>
      <c r="B8" s="163" t="str">
        <f ca="1">IFERROR(__xludf.DUMMYFUNCTION("""COMPUTED_VALUE"""),"Marți,
22.09.2026")</f>
        <v>Marți,
22.09.2026</v>
      </c>
      <c r="C8" s="30" t="str">
        <f ca="1">IFERROR(__xludf.DUMMYFUNCTION("""COMPUTED_VALUE"""),"13:15-14:45")</f>
        <v>13:15-14:45</v>
      </c>
      <c r="D8" s="31"/>
      <c r="E8" s="172"/>
      <c r="F8" s="17"/>
      <c r="G8" s="17"/>
      <c r="H8" s="20"/>
      <c r="I8" s="17"/>
      <c r="J8" s="20"/>
      <c r="K8" s="30" t="str">
        <f ca="1">IFERROR(__xludf.DUMMYFUNCTION("""COMPUTED_VALUE"""),"13:15-14:45")</f>
        <v>13:15-14:45</v>
      </c>
      <c r="L8" s="158" t="str">
        <f ca="1">IFERROR(__xludf.DUMMYFUNCTION("""COMPUTED_VALUE"""),"Marți,
22.09.2026")</f>
        <v>Marți,
22.09.2026</v>
      </c>
    </row>
    <row r="9" spans="1:12" ht="67.2" x14ac:dyDescent="0.25">
      <c r="A9" s="4"/>
      <c r="B9" s="144"/>
      <c r="C9" s="30" t="str">
        <f ca="1">IFERROR(__xludf.DUMMYFUNCTION("""COMPUTED_VALUE""")," I
15:00-16:30")</f>
        <v xml:space="preserve"> I
15:00-16:30</v>
      </c>
      <c r="D9" s="22" t="str">
        <f ca="1">IFERROR(__xludf.DUMMYFUNCTION("""COMPUTED_VALUE"""),"Analiza funct. (sem), 
V. Popa, 419/4
Teoria prob. (sem), 
V. Popa, 419/4")</f>
        <v>Analiza funct. (sem), 
V. Popa, 419/4
Teoria prob. (sem), 
V. Popa, 419/4</v>
      </c>
      <c r="E9" s="173"/>
      <c r="F9" s="33" t="str">
        <f ca="1">IFERROR(__xludf.DUMMYFUNCTION("""COMPUTED_VALUE"""),"Etica prof și acad (sem), 
D. Semeniuc, 222/4")</f>
        <v>Etica prof și acad (sem), 
D. Semeniuc, 222/4</v>
      </c>
      <c r="G9" s="33"/>
      <c r="H9" s="34" t="str">
        <f ca="1">IFERROR(__xludf.DUMMYFUNCTION("""COMPUTED_VALUE"""),"Mat. discr log. (prel), 
I. Cucu, 214/4")</f>
        <v>Mat. discr log. (prel), 
I. Cucu, 214/4</v>
      </c>
      <c r="I9" s="35"/>
      <c r="J9" s="36"/>
      <c r="K9" s="30" t="str">
        <f ca="1">IFERROR(__xludf.DUMMYFUNCTION("""COMPUTED_VALUE""")," I
15:00-16:30")</f>
        <v xml:space="preserve"> I
15:00-16:30</v>
      </c>
      <c r="L9" s="140"/>
    </row>
    <row r="10" spans="1:12" ht="50.4" x14ac:dyDescent="0.25">
      <c r="A10" s="4"/>
      <c r="B10" s="144"/>
      <c r="C10" s="21" t="str">
        <f ca="1">IFERROR(__xludf.DUMMYFUNCTION("""COMPUTED_VALUE"""),"II
16:45-18:15")</f>
        <v>II
16:45-18:15</v>
      </c>
      <c r="D10" s="31" t="str">
        <f ca="1">IFERROR(__xludf.DUMMYFUNCTION("""COMPUTED_VALUE"""),"Fund. program. (prel), 
N. Nartea, 415/4")</f>
        <v>Fund. program. (prel), 
N. Nartea, 415/4</v>
      </c>
      <c r="E10" s="174" t="str">
        <f ca="1">IFERROR(__xludf.DUMMYFUNCTION("""COMPUTED_VALUE"""),"Etica prof și acad (sem), 
D. Semeniuc, 419/4")</f>
        <v>Etica prof și acad (sem), 
D. Semeniuc, 419/4</v>
      </c>
      <c r="F10" s="37" t="str">
        <f ca="1">IFERROR(__xludf.DUMMYFUNCTION("""COMPUTED_VALUE"""),"Mat. discr log. (sem), 
I. Cucu, 113/4")</f>
        <v>Mat. discr log. (sem), 
I. Cucu, 113/4</v>
      </c>
      <c r="G10" s="22" t="str">
        <f ca="1">IFERROR(__xludf.DUMMYFUNCTION("""COMPUTED_VALUE"""),"Etica prof și acad (sem), 
D. Semeniuc, 419/4")</f>
        <v>Etica prof și acad (sem), 
D. Semeniuc, 419/4</v>
      </c>
      <c r="H10" s="38" t="str">
        <f ca="1">IFERROR(__xludf.DUMMYFUNCTION("""COMPUTED_VALUE"""),"Mat. discr graf. (prel), 
A. Niculiță, 214/4")</f>
        <v>Mat. discr graf. (prel), 
A. Niculiță, 214/4</v>
      </c>
      <c r="I10" s="39"/>
      <c r="J10" s="36"/>
      <c r="K10" s="21" t="str">
        <f ca="1">IFERROR(__xludf.DUMMYFUNCTION("""COMPUTED_VALUE"""),"II
16:45-18:15")</f>
        <v>II
16:45-18:15</v>
      </c>
      <c r="L10" s="140"/>
    </row>
    <row r="11" spans="1:12" ht="50.4" x14ac:dyDescent="0.25">
      <c r="A11" s="4"/>
      <c r="B11" s="145"/>
      <c r="C11" s="26" t="str">
        <f ca="1">IFERROR(__xludf.DUMMYFUNCTION("""COMPUTED_VALUE""")," III
18:30-20:00")</f>
        <v xml:space="preserve"> III
18:30-20:00</v>
      </c>
      <c r="D11" s="27" t="str">
        <f ca="1">IFERROR(__xludf.DUMMYFUNCTION("""COMPUTED_VALUE"""),"Fund. program. (prel), 
N. Nartea, 415/4")</f>
        <v>Fund. program. (prel), 
N. Nartea, 415/4</v>
      </c>
      <c r="E11" s="175" t="str">
        <f ca="1">IFERROR(__xludf.DUMMYFUNCTION("""COMPUTED_VALUE"""),"Etica prof și acad (sem), 
D. Semeniuc, 419/4")</f>
        <v>Etica prof și acad (sem), 
D. Semeniuc, 419/4</v>
      </c>
      <c r="F11" s="40" t="str">
        <f ca="1">IFERROR(__xludf.DUMMYFUNCTION("""COMPUTED_VALUE"""),"Mat. discr log. (sem), 
I. Cucu, 113/4")</f>
        <v>Mat. discr log. (sem), 
I. Cucu, 113/4</v>
      </c>
      <c r="G11" s="27" t="str">
        <f ca="1">IFERROR(__xludf.DUMMYFUNCTION("""COMPUTED_VALUE"""),"Etica prof și acad (sem), 
D. Semeniuc, 419/4")</f>
        <v>Etica prof și acad (sem), 
D. Semeniuc, 419/4</v>
      </c>
      <c r="H11" s="41" t="str">
        <f ca="1">IFERROR(__xludf.DUMMYFUNCTION("""COMPUTED_VALUE"""),"Mat. discr graf. (prel), 
A. Niculiță, 214/4")</f>
        <v>Mat. discr graf. (prel), 
A. Niculiță, 214/4</v>
      </c>
      <c r="I11" s="40"/>
      <c r="J11" s="26" t="str">
        <f ca="1">IFERROR(__xludf.DUMMYFUNCTION("""COMPUTED_VALUE"""),"Dezv. apl. server (prel), 
V. Vișnevschi, 222/4")</f>
        <v>Dezv. apl. server (prel), 
V. Vișnevschi, 222/4</v>
      </c>
      <c r="K11" s="26" t="str">
        <f ca="1">IFERROR(__xludf.DUMMYFUNCTION("""COMPUTED_VALUE""")," III
18:30-20:00")</f>
        <v xml:space="preserve"> III
18:30-20:00</v>
      </c>
      <c r="L11" s="141"/>
    </row>
    <row r="12" spans="1:12" ht="33.6" x14ac:dyDescent="0.3">
      <c r="A12" s="4"/>
      <c r="B12" s="163" t="str">
        <f ca="1">IFERROR(__xludf.DUMMYFUNCTION("""COMPUTED_VALUE"""),"Miercuri,
23.09.2026")</f>
        <v>Miercuri,
23.09.2026</v>
      </c>
      <c r="C12" s="30" t="str">
        <f ca="1">IFERROR(__xludf.DUMMYFUNCTION("""COMPUTED_VALUE""")," I
15:00-16:30")</f>
        <v xml:space="preserve"> I
15:00-16:30</v>
      </c>
      <c r="D12" s="31"/>
      <c r="E12" s="176" t="str">
        <f ca="1">IFERROR(__xludf.DUMMYFUNCTION("""COMPUTED_VALUE"""),"Tehn. de progr. (prel), 
N. Lupu, 213a/4")</f>
        <v>Tehn. de progr. (prel), 
N. Lupu, 213a/4</v>
      </c>
      <c r="F12" s="42" t="str">
        <f ca="1">IFERROR(__xludf.DUMMYFUNCTION("""COMPUTED_VALUE"""),"Tehn. de progr. (prel), 
N. Lupu, 213a/4")</f>
        <v>Tehn. de progr. (prel), 
N. Lupu, 213a/4</v>
      </c>
      <c r="G12" s="31" t="str">
        <f ca="1">IFERROR(__xludf.DUMMYFUNCTION("""COMPUTED_VALUE"""),"Tehn. de progr. (lab), 
D. Semeniuc, 145a/4")</f>
        <v>Tehn. de progr. (lab), 
D. Semeniuc, 145a/4</v>
      </c>
      <c r="H12" s="43" t="str">
        <f ca="1">IFERROR(__xludf.DUMMYFUNCTION("""COMPUTED_VALUE"""),"Etica prof și acad (sem), 
M. Marin, 237/4")</f>
        <v>Etica prof și acad (sem), 
M. Marin, 237/4</v>
      </c>
      <c r="I12" s="44"/>
      <c r="J12" s="24"/>
      <c r="K12" s="30" t="str">
        <f ca="1">IFERROR(__xludf.DUMMYFUNCTION("""COMPUTED_VALUE""")," I
15:00-16:30")</f>
        <v xml:space="preserve"> I
15:00-16:30</v>
      </c>
      <c r="L12" s="158" t="str">
        <f ca="1">IFERROR(__xludf.DUMMYFUNCTION("""COMPUTED_VALUE"""),"Miercuri,
23.09.2026")</f>
        <v>Miercuri,
23.09.2026</v>
      </c>
    </row>
    <row r="13" spans="1:12" ht="33.6" x14ac:dyDescent="0.25">
      <c r="A13" s="4"/>
      <c r="B13" s="144"/>
      <c r="C13" s="21" t="str">
        <f ca="1">IFERROR(__xludf.DUMMYFUNCTION("""COMPUTED_VALUE""")," II
16:45-18:15")</f>
        <v xml:space="preserve"> II
16:45-18:15</v>
      </c>
      <c r="D13" s="25"/>
      <c r="E13" s="174" t="str">
        <f ca="1">IFERROR(__xludf.DUMMYFUNCTION("""COMPUTED_VALUE"""),"BD (prel), 
D. Semeniuc, 213a/4")</f>
        <v>BD (prel), 
D. Semeniuc, 213a/4</v>
      </c>
      <c r="F13" s="22" t="str">
        <f ca="1">IFERROR(__xludf.DUMMYFUNCTION("""COMPUTED_VALUE"""),"BD (prel), 
D. Semeniuc, 213a/4")</f>
        <v>BD (prel), 
D. Semeniuc, 213a/4</v>
      </c>
      <c r="G13" s="22" t="str">
        <f ca="1">IFERROR(__xludf.DUMMYFUNCTION("""COMPUTED_VALUE"""),"BD (prel), 
D. Semeniuc, 213a/4")</f>
        <v>BD (prel), 
D. Semeniuc, 213a/4</v>
      </c>
      <c r="H13" s="45" t="str">
        <f ca="1">IFERROR(__xludf.DUMMYFUNCTION("""COMPUTED_VALUE"""),"BD (prel), 
B. Vișnevschi, 214/4")</f>
        <v>BD (prel), 
B. Vișnevschi, 214/4</v>
      </c>
      <c r="I13" s="25" t="str">
        <f ca="1">IFERROR(__xludf.DUMMYFUNCTION("""COMPUTED_VALUE"""),"Dezv. apl. server (prel), 
C. Bragaru, 401/4")</f>
        <v>Dezv. apl. server (prel), 
C. Bragaru, 401/4</v>
      </c>
      <c r="J13" s="24" t="str">
        <f ca="1">IFERROR(__xludf.DUMMYFUNCTION("""COMPUTED_VALUE"""),"Testare soft (prel), 
G. Marin, 222/4")</f>
        <v>Testare soft (prel), 
G. Marin, 222/4</v>
      </c>
      <c r="K13" s="21" t="str">
        <f ca="1">IFERROR(__xludf.DUMMYFUNCTION("""COMPUTED_VALUE""")," II
16:45-18:15")</f>
        <v xml:space="preserve"> II
16:45-18:15</v>
      </c>
      <c r="L13" s="140"/>
    </row>
    <row r="14" spans="1:12" ht="50.4" customHeight="1" x14ac:dyDescent="0.25">
      <c r="A14" s="4"/>
      <c r="B14" s="145"/>
      <c r="C14" s="26" t="str">
        <f ca="1">IFERROR(__xludf.DUMMYFUNCTION("""COMPUTED_VALUE"""),"III
 18:30-20:00")</f>
        <v>III
 18:30-20:00</v>
      </c>
      <c r="D14" s="27"/>
      <c r="E14" s="175" t="str">
        <f ca="1">IFERROR(__xludf.DUMMYFUNCTION("""COMPUTED_VALUE"""),"BD (prel), 
D. Semeniuc, 213a/4")</f>
        <v>BD (prel), 
D. Semeniuc, 213a/4</v>
      </c>
      <c r="F14" s="27" t="str">
        <f ca="1">IFERROR(__xludf.DUMMYFUNCTION("""COMPUTED_VALUE"""),"BD (prel), 
D. Semeniuc, 213a/4")</f>
        <v>BD (prel), 
D. Semeniuc, 213a/4</v>
      </c>
      <c r="G14" s="27" t="str">
        <f ca="1">IFERROR(__xludf.DUMMYFUNCTION("""COMPUTED_VALUE"""),"BD (prel), 
D. Semeniuc, 213a/4")</f>
        <v>BD (prel), 
D. Semeniuc, 213a/4</v>
      </c>
      <c r="H14" s="41" t="str">
        <f ca="1">IFERROR(__xludf.DUMMYFUNCTION("""COMPUTED_VALUE"""),"BD (prel), 
B. Vișnevschi, 214/4")</f>
        <v>BD (prel), 
B. Vișnevschi, 214/4</v>
      </c>
      <c r="I14" s="27" t="str">
        <f ca="1">IFERROR(__xludf.DUMMYFUNCTION("""COMPUTED_VALUE"""),"Met. stat. date (prel), 
V. Trebiș, 401/4")</f>
        <v>Met. stat. date (prel), 
V. Trebiș, 401/4</v>
      </c>
      <c r="J14" s="26" t="str">
        <f ca="1">IFERROR(__xludf.DUMMYFUNCTION("""COMPUTED_VALUE"""),"Sec. aplic. web (prel), 
V. Vișnevschi, 222/4")</f>
        <v>Sec. aplic. web (prel), 
V. Vișnevschi, 222/4</v>
      </c>
      <c r="K14" s="26" t="str">
        <f ca="1">IFERROR(__xludf.DUMMYFUNCTION("""COMPUTED_VALUE"""),"III
 18:30-20:00")</f>
        <v>III
 18:30-20:00</v>
      </c>
      <c r="L14" s="141"/>
    </row>
    <row r="15" spans="1:12" ht="16.8" hidden="1" x14ac:dyDescent="0.25">
      <c r="A15" s="4"/>
      <c r="B15" s="163" t="str">
        <f ca="1">IFERROR(__xludf.DUMMYFUNCTION("""COMPUTED_VALUE"""),"Joi,
24.09.2026")</f>
        <v>Joi,
24.09.2026</v>
      </c>
      <c r="C15" s="30" t="str">
        <f ca="1">IFERROR(__xludf.DUMMYFUNCTION("""COMPUTED_VALUE"""),"13:15-14:45")</f>
        <v>13:15-14:45</v>
      </c>
      <c r="D15" s="31"/>
      <c r="E15" s="177"/>
      <c r="F15" s="31"/>
      <c r="G15" s="31"/>
      <c r="H15" s="46"/>
      <c r="I15" s="25"/>
      <c r="J15" s="24"/>
      <c r="K15" s="30" t="str">
        <f ca="1">IFERROR(__xludf.DUMMYFUNCTION("""COMPUTED_VALUE"""),"13:15-14:45")</f>
        <v>13:15-14:45</v>
      </c>
      <c r="L15" s="158" t="str">
        <f ca="1">IFERROR(__xludf.DUMMYFUNCTION("""COMPUTED_VALUE"""),"Joi,
24.09.2026")</f>
        <v>Joi,
24.09.2026</v>
      </c>
    </row>
    <row r="16" spans="1:12" ht="43.8" customHeight="1" x14ac:dyDescent="0.25">
      <c r="A16" s="4"/>
      <c r="B16" s="144"/>
      <c r="C16" s="21" t="str">
        <f ca="1">IFERROR(__xludf.DUMMYFUNCTION("""COMPUTED_VALUE""")," I
15:00-16:30")</f>
        <v xml:space="preserve"> I
15:00-16:30</v>
      </c>
      <c r="D16" s="31" t="str">
        <f ca="1">IFERROR(__xludf.DUMMYFUNCTION("""COMPUTED_VALUE"""),"Ecuații dif. (sem), 
G. Sprincean, 412/c")</f>
        <v>Ecuații dif. (sem), 
G. Sprincean, 412/c</v>
      </c>
      <c r="E16" s="174" t="str">
        <f ca="1">IFERROR(__xludf.DUMMYFUNCTION("""COMPUTED_VALUE"""),"Tehn. de progr. (lab), 
N. Lupu, 239/4")</f>
        <v>Tehn. de progr. (lab), 
N. Lupu, 239/4</v>
      </c>
      <c r="F16" s="22"/>
      <c r="G16" s="22"/>
      <c r="H16" s="24"/>
      <c r="I16" s="25"/>
      <c r="J16" s="24"/>
      <c r="K16" s="21" t="str">
        <f ca="1">IFERROR(__xludf.DUMMYFUNCTION("""COMPUTED_VALUE""")," I
15:00-16:30")</f>
        <v xml:space="preserve"> I
15:00-16:30</v>
      </c>
      <c r="L16" s="140"/>
    </row>
    <row r="17" spans="1:12" ht="46.8" customHeight="1" x14ac:dyDescent="0.25">
      <c r="A17" s="4"/>
      <c r="B17" s="144"/>
      <c r="C17" s="21" t="str">
        <f ca="1">IFERROR(__xludf.DUMMYFUNCTION("""COMPUTED_VALUE"""),"II
 16:45-18:15")</f>
        <v>II
 16:45-18:15</v>
      </c>
      <c r="D17" s="22" t="str">
        <f ca="1">IFERROR(__xludf.DUMMYFUNCTION("""COMPUTED_VALUE"""),"Ecuații dif. (prel), 
G. Sprincean, 412/c")</f>
        <v>Ecuații dif. (prel), 
G. Sprincean, 412/c</v>
      </c>
      <c r="E17" s="174" t="str">
        <f ca="1">IFERROR(__xludf.DUMMYFUNCTION("""COMPUTED_VALUE"""),"BD (prel), 
D. Semeniuc, 213a/4")</f>
        <v>BD (prel), 
D. Semeniuc, 213a/4</v>
      </c>
      <c r="F17" s="22" t="str">
        <f ca="1">IFERROR(__xludf.DUMMYFUNCTION("""COMPUTED_VALUE"""),"BD (prel), 
D. Semeniuc, 213a/4")</f>
        <v>BD (prel), 
D. Semeniuc, 213a/4</v>
      </c>
      <c r="G17" s="22" t="str">
        <f ca="1">IFERROR(__xludf.DUMMYFUNCTION("""COMPUTED_VALUE"""),"BD (prel), 
D. Semeniuc, 213a/4")</f>
        <v>BD (prel), 
D. Semeniuc, 213a/4</v>
      </c>
      <c r="H17" s="24" t="str">
        <f ca="1">IFERROR(__xludf.DUMMYFUNCTION("""COMPUTED_VALUE"""),"L. str. (sem), 
G. Ciudin, 214/4")</f>
        <v>L. str. (sem), 
G. Ciudin, 214/4</v>
      </c>
      <c r="I17" s="25"/>
      <c r="J17" s="24" t="str">
        <f ca="1">IFERROR(__xludf.DUMMYFUNCTION("""COMPUTED_VALUE"""),"Testare soft (prel), 
G. Marin, 239/4")</f>
        <v>Testare soft (prel), 
G. Marin, 239/4</v>
      </c>
      <c r="K17" s="21" t="str">
        <f ca="1">IFERROR(__xludf.DUMMYFUNCTION("""COMPUTED_VALUE"""),"II
 16:45-18:15")</f>
        <v>II
 16:45-18:15</v>
      </c>
      <c r="L17" s="140"/>
    </row>
    <row r="18" spans="1:12" ht="39.6" customHeight="1" x14ac:dyDescent="0.25">
      <c r="A18" s="4"/>
      <c r="B18" s="145"/>
      <c r="C18" s="26" t="str">
        <f ca="1">IFERROR(__xludf.DUMMYFUNCTION("""COMPUTED_VALUE"""),"III
 18:30-20:00")</f>
        <v>III
 18:30-20:00</v>
      </c>
      <c r="D18" s="27"/>
      <c r="E18" s="175" t="str">
        <f ca="1">IFERROR(__xludf.DUMMYFUNCTION("""COMPUTED_VALUE"""),"BD (prel), 
D. Semeniuc, 213a/4")</f>
        <v>BD (prel), 
D. Semeniuc, 213a/4</v>
      </c>
      <c r="F18" s="27" t="str">
        <f ca="1">IFERROR(__xludf.DUMMYFUNCTION("""COMPUTED_VALUE"""),"BD (prel), 
D. Semeniuc, 213a/4")</f>
        <v>BD (prel), 
D. Semeniuc, 213a/4</v>
      </c>
      <c r="G18" s="27" t="str">
        <f ca="1">IFERROR(__xludf.DUMMYFUNCTION("""COMPUTED_VALUE"""),"BD (prel), 
D. Semeniuc, 213a/4")</f>
        <v>BD (prel), 
D. Semeniuc, 213a/4</v>
      </c>
      <c r="H18" s="41" t="str">
        <f ca="1">IFERROR(__xludf.DUMMYFUNCTION("""COMPUTED_VALUE"""),"L. str. (sem), 
G. Ciudin, 214/4")</f>
        <v>L. str. (sem), 
G. Ciudin, 214/4</v>
      </c>
      <c r="I18" s="40" t="str">
        <f ca="1">IFERROR(__xludf.DUMMYFUNCTION("""COMPUTED_VALUE"""),"Sec. aplic. web (prel), 
I. Tican, 222/4")</f>
        <v>Sec. aplic. web (prel), 
I. Tican, 222/4</v>
      </c>
      <c r="J18" s="26" t="str">
        <f ca="1">IFERROR(__xludf.DUMMYFUNCTION("""COMPUTED_VALUE"""),"Testare soft (lab), 
G. Marin, 143/4")</f>
        <v>Testare soft (lab), 
G. Marin, 143/4</v>
      </c>
      <c r="K18" s="26" t="str">
        <f ca="1">IFERROR(__xludf.DUMMYFUNCTION("""COMPUTED_VALUE"""),"III
 18:30-20:00")</f>
        <v>III
 18:30-20:00</v>
      </c>
      <c r="L18" s="141"/>
    </row>
    <row r="19" spans="1:12" ht="50.4" x14ac:dyDescent="0.3">
      <c r="A19" s="4"/>
      <c r="B19" s="163" t="str">
        <f ca="1">IFERROR(__xludf.DUMMYFUNCTION("""COMPUTED_VALUE"""),"Vineri,
25.09.2026")</f>
        <v>Vineri,
25.09.2026</v>
      </c>
      <c r="C19" s="30" t="str">
        <f ca="1">IFERROR(__xludf.DUMMYFUNCTION("""COMPUTED_VALUE""")," I
15:00-16:30")</f>
        <v xml:space="preserve"> I
15:00-16:30</v>
      </c>
      <c r="D19" s="31" t="str">
        <f ca="1">IFERROR(__xludf.DUMMYFUNCTION("""COMPUTED_VALUE"""),"Fund. program. (lab), 
N. Nartea, 254/4")</f>
        <v>Fund. program. (lab), 
N. Nartea, 254/4</v>
      </c>
      <c r="E19" s="176" t="str">
        <f ca="1">IFERROR(__xludf.DUMMYFUNCTION("""COMPUTED_VALUE"""),"Tehn. de progr. (prel), 
N. Lupu, 113/4")</f>
        <v>Tehn. de progr. (prel), 
N. Lupu, 113/4</v>
      </c>
      <c r="F19" s="42" t="str">
        <f ca="1">IFERROR(__xludf.DUMMYFUNCTION("""COMPUTED_VALUE"""),"Tehn. de progr. (prel), 
N. Lupu, 113/4")</f>
        <v>Tehn. de progr. (prel), 
N. Lupu, 113/4</v>
      </c>
      <c r="G19" s="31"/>
      <c r="H19" s="46" t="str">
        <f ca="1">IFERROR(__xludf.DUMMYFUNCTION("""COMPUTED_VALUE"""),"Etica prof și acad (sem), 
M. Marin, 419/4")</f>
        <v>Etica prof și acad (sem), 
M. Marin, 419/4</v>
      </c>
      <c r="I19" s="25"/>
      <c r="J19" s="24"/>
      <c r="K19" s="30" t="str">
        <f ca="1">IFERROR(__xludf.DUMMYFUNCTION("""COMPUTED_VALUE""")," I
15:00-16:30")</f>
        <v xml:space="preserve"> I
15:00-16:30</v>
      </c>
      <c r="L19" s="158" t="str">
        <f ca="1">IFERROR(__xludf.DUMMYFUNCTION("""COMPUTED_VALUE"""),"Vineri,
25.09.2026")</f>
        <v>Vineri,
25.09.2026</v>
      </c>
    </row>
    <row r="20" spans="1:12" ht="50.4" x14ac:dyDescent="0.25">
      <c r="A20" s="4"/>
      <c r="B20" s="144"/>
      <c r="C20" s="21" t="str">
        <f ca="1">IFERROR(__xludf.DUMMYFUNCTION("""COMPUTED_VALUE"""),"II
 16:45-18:15")</f>
        <v>II
 16:45-18:15</v>
      </c>
      <c r="D20" s="22" t="str">
        <f ca="1">IFERROR(__xludf.DUMMYFUNCTION("""COMPUTED_VALUE"""),"Ecuații dif. (prel), 
G. Sprincean, 412/c")</f>
        <v>Ecuații dif. (prel), 
G. Sprincean, 412/c</v>
      </c>
      <c r="E20" s="174" t="str">
        <f ca="1">IFERROR(__xludf.DUMMYFUNCTION("""COMPUTED_VALUE"""),"Etica prof și acad (prel), 
D. Semeniuc, 213a/4")</f>
        <v>Etica prof și acad (prel), 
D. Semeniuc, 213a/4</v>
      </c>
      <c r="F20" s="22" t="str">
        <f ca="1">IFERROR(__xludf.DUMMYFUNCTION("""COMPUTED_VALUE"""),"Etica prof și acad (prel), 
D. Semeniuc, 213a/4")</f>
        <v>Etica prof și acad (prel), 
D. Semeniuc, 213a/4</v>
      </c>
      <c r="G20" s="22" t="str">
        <f ca="1">IFERROR(__xludf.DUMMYFUNCTION("""COMPUTED_VALUE"""),"Etica prof și acad (prel), 
D. Semeniuc, 213a/4")</f>
        <v>Etica prof și acad (prel), 
D. Semeniuc, 213a/4</v>
      </c>
      <c r="H20" s="47" t="str">
        <f ca="1">IFERROR(__xludf.DUMMYFUNCTION("""COMPUTED_VALUE"""),"II: BD (lab), 
B. Vișnevschi, 423/4")</f>
        <v>II: BD (lab), 
B. Vișnevschi, 423/4</v>
      </c>
      <c r="I20" s="25" t="str">
        <f ca="1">IFERROR(__xludf.DUMMYFUNCTION("""COMPUTED_VALUE""")," I: Testare soft (lab), 
N. Lupu, 350/4")</f>
        <v xml:space="preserve"> I: Testare soft (lab), 
N. Lupu, 350/4</v>
      </c>
      <c r="J20" s="45" t="str">
        <f ca="1">IFERROR(__xludf.DUMMYFUNCTION("""COMPUTED_VALUE"""),"Testare soft (prel), 
G. Marin, 401/4")</f>
        <v>Testare soft (prel), 
G. Marin, 401/4</v>
      </c>
      <c r="K20" s="21" t="str">
        <f ca="1">IFERROR(__xludf.DUMMYFUNCTION("""COMPUTED_VALUE"""),"II
 16:45-18:15")</f>
        <v>II
 16:45-18:15</v>
      </c>
      <c r="L20" s="140"/>
    </row>
    <row r="21" spans="1:12" ht="50.4" x14ac:dyDescent="0.25">
      <c r="A21" s="4"/>
      <c r="B21" s="145"/>
      <c r="C21" s="26" t="str">
        <f ca="1">IFERROR(__xludf.DUMMYFUNCTION("""COMPUTED_VALUE"""),"III
 18:30-20:00")</f>
        <v>III
 18:30-20:00</v>
      </c>
      <c r="D21" s="27" t="str">
        <f ca="1">IFERROR(__xludf.DUMMYFUNCTION("""COMPUTED_VALUE"""),"Ecuații dif. (prel), 
G. Sprincean, 412/c")</f>
        <v>Ecuații dif. (prel), 
G. Sprincean, 412/c</v>
      </c>
      <c r="E21" s="175" t="str">
        <f ca="1">IFERROR(__xludf.DUMMYFUNCTION("""COMPUTED_VALUE"""),"Etica prof și acad (prel), 
D. Semeniuc, 213a/4")</f>
        <v>Etica prof și acad (prel), 
D. Semeniuc, 213a/4</v>
      </c>
      <c r="F21" s="27" t="str">
        <f ca="1">IFERROR(__xludf.DUMMYFUNCTION("""COMPUTED_VALUE"""),"Etica prof și acad (prel), 
D. Semeniuc, 213a/4")</f>
        <v>Etica prof și acad (prel), 
D. Semeniuc, 213a/4</v>
      </c>
      <c r="G21" s="27" t="str">
        <f ca="1">IFERROR(__xludf.DUMMYFUNCTION("""COMPUTED_VALUE"""),"Etica prof și acad (prel), 
D. Semeniuc, 213a/4")</f>
        <v>Etica prof și acad (prel), 
D. Semeniuc, 213a/4</v>
      </c>
      <c r="H21" s="48" t="str">
        <f ca="1">IFERROR(__xludf.DUMMYFUNCTION("""COMPUTED_VALUE"""),"II: BD (lab), 
B. Vișnevschi, 423/4")</f>
        <v>II: BD (lab), 
B. Vișnevschi, 423/4</v>
      </c>
      <c r="I21" s="40" t="str">
        <f ca="1">IFERROR(__xludf.DUMMYFUNCTION("""COMPUTED_VALUE""")," I: Testare soft (lab), 
N. Lupu, 350/4")</f>
        <v xml:space="preserve"> I: Testare soft (lab), 
N. Lupu, 350/4</v>
      </c>
      <c r="J21" s="26" t="str">
        <f ca="1">IFERROR(__xludf.DUMMYFUNCTION("""COMPUTED_VALUE"""),"Dezv. apl. server (lab), 
V. Vișnevschi, 237/4")</f>
        <v>Dezv. apl. server (lab), 
V. Vișnevschi, 237/4</v>
      </c>
      <c r="K21" s="26" t="str">
        <f ca="1">IFERROR(__xludf.DUMMYFUNCTION("""COMPUTED_VALUE"""),"III
 18:30-20:00")</f>
        <v>III
 18:30-20:00</v>
      </c>
      <c r="L21" s="141"/>
    </row>
    <row r="22" spans="1:12" ht="40.799999999999997" customHeight="1" x14ac:dyDescent="0.25">
      <c r="A22" s="4"/>
      <c r="B22" s="163" t="str">
        <f ca="1">IFERROR(__xludf.DUMMYFUNCTION("""COMPUTED_VALUE"""),"Sîmbătă,
26.09.2026")</f>
        <v>Sîmbătă,
26.09.2026</v>
      </c>
      <c r="C22" s="30" t="str">
        <f ca="1">IFERROR(__xludf.DUMMYFUNCTION("""COMPUTED_VALUE"""),"I
 08:00-9:30")</f>
        <v>I
 08:00-9:30</v>
      </c>
      <c r="D22" s="31" t="str">
        <f ca="1">IFERROR(__xludf.DUMMYFUNCTION("""COMPUTED_VALUE"""),"L. str. (sem), 
G. Ciudin, 213a/4")</f>
        <v>L. str. (sem), 
G. Ciudin, 213a/4</v>
      </c>
      <c r="E22" s="174" t="str">
        <f ca="1">IFERROR(__xludf.DUMMYFUNCTION("""COMPUTED_VALUE"""),"L. str. (sem), 
G. Ciudin, 213a/4")</f>
        <v>L. str. (sem), 
G. Ciudin, 213a/4</v>
      </c>
      <c r="F22" s="22" t="str">
        <f ca="1">IFERROR(__xludf.DUMMYFUNCTION("""COMPUTED_VALUE"""),"L. str. (sem), 
G. Ciudin, 213a/4")</f>
        <v>L. str. (sem), 
G. Ciudin, 213a/4</v>
      </c>
      <c r="G22" s="22" t="str">
        <f ca="1">IFERROR(__xludf.DUMMYFUNCTION("""COMPUTED_VALUE"""),"L. str. (sem), 
G. Ciudin, 213a/4")</f>
        <v>L. str. (sem), 
G. Ciudin, 213a/4</v>
      </c>
      <c r="H22" s="49" t="str">
        <f ca="1">IFERROR(__xludf.DUMMYFUNCTION("""COMPUTED_VALUE"""),"Tehn. de progr. (prel), 
I. Anghelova, 222/4")</f>
        <v>Tehn. de progr. (prel), 
I. Anghelova, 222/4</v>
      </c>
      <c r="I22" s="25" t="str">
        <f ca="1">IFERROR(__xludf.DUMMYFUNCTION("""COMPUTED_VALUE"""),"Sec. retelelor (prel), 
I. Tican, 113/4")</f>
        <v>Sec. retelelor (prel), 
I. Tican, 113/4</v>
      </c>
      <c r="J22" s="24"/>
      <c r="K22" s="30" t="str">
        <f ca="1">IFERROR(__xludf.DUMMYFUNCTION("""COMPUTED_VALUE"""),"I
 08:00-9:30")</f>
        <v>I
 08:00-9:30</v>
      </c>
      <c r="L22" s="158" t="str">
        <f ca="1">IFERROR(__xludf.DUMMYFUNCTION("""COMPUTED_VALUE"""),"Sîmbătă,
26.09.2026")</f>
        <v>Sîmbătă,
26.09.2026</v>
      </c>
    </row>
    <row r="23" spans="1:12" ht="46.8" customHeight="1" x14ac:dyDescent="0.25">
      <c r="A23" s="4"/>
      <c r="B23" s="144"/>
      <c r="C23" s="21" t="str">
        <f ca="1">IFERROR(__xludf.DUMMYFUNCTION("""COMPUTED_VALUE"""),"II
 09:45-11:15")</f>
        <v>II
 09:45-11:15</v>
      </c>
      <c r="D23" s="25" t="str">
        <f ca="1">IFERROR(__xludf.DUMMYFUNCTION("""COMPUTED_VALUE"""),"L. str. (sem), 
G. Ciudin, 213a/4")</f>
        <v>L. str. (sem), 
G. Ciudin, 213a/4</v>
      </c>
      <c r="E23" s="178" t="str">
        <f ca="1">IFERROR(__xludf.DUMMYFUNCTION("""COMPUTED_VALUE"""),"L. str. (sem), 
G. Ciudin, 213a/4")</f>
        <v>L. str. (sem), 
G. Ciudin, 213a/4</v>
      </c>
      <c r="F23" s="33" t="str">
        <f ca="1">IFERROR(__xludf.DUMMYFUNCTION("""COMPUTED_VALUE"""),"L. str. (sem), 
G. Ciudin, 213a/4")</f>
        <v>L. str. (sem), 
G. Ciudin, 213a/4</v>
      </c>
      <c r="G23" s="33" t="str">
        <f ca="1">IFERROR(__xludf.DUMMYFUNCTION("""COMPUTED_VALUE"""),"L. str. (sem), 
G. Ciudin, 213a/4")</f>
        <v>L. str. (sem), 
G. Ciudin, 213a/4</v>
      </c>
      <c r="H23" s="50" t="str">
        <f ca="1">IFERROR(__xludf.DUMMYFUNCTION("""COMPUTED_VALUE"""),"Tehn. de progr. (prel), 
I. Anghelova, 222/4")</f>
        <v>Tehn. de progr. (prel), 
I. Anghelova, 222/4</v>
      </c>
      <c r="I23" s="35" t="str">
        <f ca="1">IFERROR(__xludf.DUMMYFUNCTION("""COMPUTED_VALUE"""),"Dezv. apl. server (lab), 
A. Gligor, 145/4")</f>
        <v>Dezv. apl. server (lab), 
A. Gligor, 145/4</v>
      </c>
      <c r="J23" s="24"/>
      <c r="K23" s="21" t="str">
        <f ca="1">IFERROR(__xludf.DUMMYFUNCTION("""COMPUTED_VALUE"""),"II
 09:45-11:15")</f>
        <v>II
 09:45-11:15</v>
      </c>
      <c r="L23" s="140"/>
    </row>
    <row r="24" spans="1:12" ht="46.8" customHeight="1" x14ac:dyDescent="0.25">
      <c r="A24" s="4"/>
      <c r="B24" s="144"/>
      <c r="C24" s="21" t="str">
        <f ca="1">IFERROR(__xludf.DUMMYFUNCTION("""COMPUTED_VALUE"""),"III
 11:30-13:00")</f>
        <v>III
 11:30-13:00</v>
      </c>
      <c r="D24" s="22" t="str">
        <f ca="1">IFERROR(__xludf.DUMMYFUNCTION("""COMPUTED_VALUE"""),"Teoria prob. (prel), 
V. Popa, 415/4")</f>
        <v>Teoria prob. (prel), 
V. Popa, 415/4</v>
      </c>
      <c r="E24" s="178" t="str">
        <f ca="1">IFERROR(__xludf.DUMMYFUNCTION("""COMPUTED_VALUE"""),"BD (lab), 
D. Semeniuc, 326/4")</f>
        <v>BD (lab), 
D. Semeniuc, 326/4</v>
      </c>
      <c r="F24" s="51" t="str">
        <f ca="1">IFERROR(__xludf.DUMMYFUNCTION("""COMPUTED_VALUE"""),"Mat. discr log. (sem), 
I. Cucu, 404/4")</f>
        <v>Mat. discr log. (sem), 
I. Cucu, 404/4</v>
      </c>
      <c r="G24" s="51" t="str">
        <f ca="1">IFERROR(__xludf.DUMMYFUNCTION("""COMPUTED_VALUE"""),"BD (lab), 
D. Semeniuc, 326/4")</f>
        <v>BD (lab), 
D. Semeniuc, 326/4</v>
      </c>
      <c r="H24" s="52" t="str">
        <f ca="1">IFERROR(__xludf.DUMMYFUNCTION("""COMPUTED_VALUE"""),"L. str. (sem), 
G. Ciudin, 113/4")</f>
        <v>L. str. (sem), 
G. Ciudin, 113/4</v>
      </c>
      <c r="I24" s="35" t="str">
        <f ca="1">IFERROR(__xludf.DUMMYFUNCTION("""COMPUTED_VALUE"""),"Met. stat. date (prel), 
V. Trebiș, 401/4")</f>
        <v>Met. stat. date (prel), 
V. Trebiș, 401/4</v>
      </c>
      <c r="J24" s="24"/>
      <c r="K24" s="21" t="str">
        <f ca="1">IFERROR(__xludf.DUMMYFUNCTION("""COMPUTED_VALUE"""),"III
 11:30-13:00")</f>
        <v>III
 11:30-13:00</v>
      </c>
      <c r="L24" s="140"/>
    </row>
    <row r="25" spans="1:12" ht="45" customHeight="1" x14ac:dyDescent="0.25">
      <c r="A25" s="4"/>
      <c r="B25" s="144"/>
      <c r="C25" s="21" t="str">
        <f ca="1">IFERROR(__xludf.DUMMYFUNCTION("""COMPUTED_VALUE"""),"IV
 13:15-14:45")</f>
        <v>IV
 13:15-14:45</v>
      </c>
      <c r="D25" s="25" t="str">
        <f ca="1">IFERROR(__xludf.DUMMYFUNCTION("""COMPUTED_VALUE"""),"Analiza funct. (prel), 
V. Popa, 415/4")</f>
        <v>Analiza funct. (prel), 
V. Popa, 415/4</v>
      </c>
      <c r="E25" s="178" t="str">
        <f ca="1">IFERROR(__xludf.DUMMYFUNCTION("""COMPUTED_VALUE"""),"BD (lab), 
D. Semeniuc, 326/4")</f>
        <v>BD (lab), 
D. Semeniuc, 326/4</v>
      </c>
      <c r="F25" s="51" t="str">
        <f ca="1">IFERROR(__xludf.DUMMYFUNCTION("""COMPUTED_VALUE"""),"Mat. discr log. (sem), 
I. Cucu, 404/4")</f>
        <v>Mat. discr log. (sem), 
I. Cucu, 404/4</v>
      </c>
      <c r="G25" s="51" t="str">
        <f ca="1">IFERROR(__xludf.DUMMYFUNCTION("""COMPUTED_VALUE"""),"BD (lab), 
D. Semeniuc, 326/4")</f>
        <v>BD (lab), 
D. Semeniuc, 326/4</v>
      </c>
      <c r="H25" s="52" t="str">
        <f ca="1">IFERROR(__xludf.DUMMYFUNCTION("""COMPUTED_VALUE"""),"L. str. (sem), 
G. Ciudin, 113/4")</f>
        <v>L. str. (sem), 
G. Ciudin, 113/4</v>
      </c>
      <c r="I25" s="35" t="str">
        <f ca="1">IFERROR(__xludf.DUMMYFUNCTION("""COMPUTED_VALUE"""),"II: Met. stat. date (lab), 
V. Trebiș, 350/4")</f>
        <v>II: Met. stat. date (lab), 
V. Trebiș, 350/4</v>
      </c>
      <c r="J25" s="24"/>
      <c r="K25" s="21" t="str">
        <f ca="1">IFERROR(__xludf.DUMMYFUNCTION("""COMPUTED_VALUE"""),"IV
 13:15-14:45")</f>
        <v>IV
 13:15-14:45</v>
      </c>
      <c r="L25" s="140"/>
    </row>
    <row r="26" spans="1:12" ht="33.6" x14ac:dyDescent="0.25">
      <c r="A26" s="4"/>
      <c r="B26" s="144"/>
      <c r="C26" s="21" t="str">
        <f ca="1">IFERROR(__xludf.DUMMYFUNCTION("""COMPUTED_VALUE""")," V
15:00-16:30")</f>
        <v xml:space="preserve"> V
15:00-16:30</v>
      </c>
      <c r="D26" s="25" t="str">
        <f ca="1">IFERROR(__xludf.DUMMYFUNCTION("""COMPUTED_VALUE"""),"Teoria prob. (prel), 
V. Popa, 415/4")</f>
        <v>Teoria prob. (prel), 
V. Popa, 415/4</v>
      </c>
      <c r="E26" s="178"/>
      <c r="F26" s="33"/>
      <c r="G26" s="33"/>
      <c r="H26" s="53"/>
      <c r="I26" s="35"/>
      <c r="J26" s="24"/>
      <c r="K26" s="21" t="str">
        <f ca="1">IFERROR(__xludf.DUMMYFUNCTION("""COMPUTED_VALUE""")," V
15:00-16:30")</f>
        <v xml:space="preserve"> V
15:00-16:30</v>
      </c>
      <c r="L26" s="140"/>
    </row>
    <row r="27" spans="1:12" ht="16.8" x14ac:dyDescent="0.25">
      <c r="A27" s="4"/>
      <c r="B27" s="145"/>
      <c r="C27" s="26" t="str">
        <f ca="1">IFERROR(__xludf.DUMMYFUNCTION("""COMPUTED_VALUE"""),"VI
 16:45-18:15")</f>
        <v>VI
 16:45-18:15</v>
      </c>
      <c r="D27" s="27"/>
      <c r="E27" s="175"/>
      <c r="F27" s="40"/>
      <c r="G27" s="40"/>
      <c r="H27" s="41"/>
      <c r="I27" s="27"/>
      <c r="J27" s="54"/>
      <c r="K27" s="26" t="str">
        <f ca="1">IFERROR(__xludf.DUMMYFUNCTION("""COMPUTED_VALUE"""),"VI
 16:45-18:15")</f>
        <v>VI
 16:45-18:15</v>
      </c>
      <c r="L27" s="141"/>
    </row>
    <row r="28" spans="1:12" ht="33.6" x14ac:dyDescent="0.25">
      <c r="A28" s="4"/>
      <c r="B28" s="163" t="str">
        <f ca="1">IFERROR(__xludf.DUMMYFUNCTION("""COMPUTED_VALUE"""),"Duminică,
27.09.2026")</f>
        <v>Duminică,
27.09.2026</v>
      </c>
      <c r="C28" s="55" t="str">
        <f ca="1">IFERROR(__xludf.DUMMYFUNCTION("""COMPUTED_VALUE"""),"I
 08:00-9:30")</f>
        <v>I
 08:00-9:30</v>
      </c>
      <c r="D28" s="56"/>
      <c r="E28" s="177"/>
      <c r="F28" s="31"/>
      <c r="G28" s="31"/>
      <c r="H28" s="47" t="str">
        <f ca="1">IFERROR(__xludf.DUMMYFUNCTION("""COMPUTED_VALUE""")," I: Tehn. de progr. (lab), 
I. Anghelova, 145a/4")</f>
        <v xml:space="preserve"> I: Tehn. de progr. (lab), 
I. Anghelova, 145a/4</v>
      </c>
      <c r="I28" s="31" t="str">
        <f ca="1">IFERROR(__xludf.DUMMYFUNCTION("""COMPUTED_VALUE"""),"Sec. retelelor (lab), 
I. Tican, 145/4")</f>
        <v>Sec. retelelor (lab), 
I. Tican, 145/4</v>
      </c>
      <c r="J28" s="46"/>
      <c r="K28" s="57" t="str">
        <f ca="1">IFERROR(__xludf.DUMMYFUNCTION("""COMPUTED_VALUE"""),"I
 08:00-9:30")</f>
        <v>I
 08:00-9:30</v>
      </c>
      <c r="L28" s="164" t="str">
        <f ca="1">IFERROR(__xludf.DUMMYFUNCTION("""COMPUTED_VALUE"""),"Duminică,
27.09.2026")</f>
        <v>Duminică,
27.09.2026</v>
      </c>
    </row>
    <row r="29" spans="1:12" ht="33.6" x14ac:dyDescent="0.25">
      <c r="A29" s="4"/>
      <c r="B29" s="144"/>
      <c r="C29" s="58" t="str">
        <f ca="1">IFERROR(__xludf.DUMMYFUNCTION("""COMPUTED_VALUE"""),"II
 09:45-11:15")</f>
        <v>II
 09:45-11:15</v>
      </c>
      <c r="D29" s="59"/>
      <c r="E29" s="179"/>
      <c r="F29" s="22"/>
      <c r="G29" s="60"/>
      <c r="H29" s="47" t="str">
        <f ca="1">IFERROR(__xludf.DUMMYFUNCTION("""COMPUTED_VALUE""")," I: Tehn. de progr. (lab), 
I. Anghelova, 145a/4")</f>
        <v xml:space="preserve"> I: Tehn. de progr. (lab), 
I. Anghelova, 145a/4</v>
      </c>
      <c r="I29" s="61" t="str">
        <f ca="1">IFERROR(__xludf.DUMMYFUNCTION("""COMPUTED_VALUE"""),"Sec. retelelor (lab), 
I. Tican, 145/4")</f>
        <v>Sec. retelelor (lab), 
I. Tican, 145/4</v>
      </c>
      <c r="J29" s="24"/>
      <c r="K29" s="62" t="str">
        <f ca="1">IFERROR(__xludf.DUMMYFUNCTION("""COMPUTED_VALUE"""),"II
 09:45-11:15")</f>
        <v>II
 09:45-11:15</v>
      </c>
      <c r="L29" s="165"/>
    </row>
    <row r="30" spans="1:12" ht="50.4" x14ac:dyDescent="0.25">
      <c r="A30" s="4"/>
      <c r="B30" s="144"/>
      <c r="C30" s="58" t="str">
        <f ca="1">IFERROR(__xludf.DUMMYFUNCTION("""COMPUTED_VALUE"""),"III
 11:30-13:00")</f>
        <v>III
 11:30-13:00</v>
      </c>
      <c r="D30" s="59"/>
      <c r="E30" s="179"/>
      <c r="F30" s="25"/>
      <c r="G30" s="60"/>
      <c r="H30" s="63" t="str">
        <f ca="1">IFERROR(__xludf.DUMMYFUNCTION("""COMPUTED_VALUE"""),"II: Tehn. de progr. (lab), 
I. Anghelova, 145a/4")</f>
        <v>II: Tehn. de progr. (lab), 
I. Anghelova, 145a/4</v>
      </c>
      <c r="I30" s="35" t="str">
        <f ca="1">IFERROR(__xludf.DUMMYFUNCTION("""COMPUTED_VALUE"""),"Sec. aplic. web (lab), 
I. Tican, 145/4")</f>
        <v>Sec. aplic. web (lab), 
I. Tican, 145/4</v>
      </c>
      <c r="J30" s="64"/>
      <c r="K30" s="62" t="str">
        <f ca="1">IFERROR(__xludf.DUMMYFUNCTION("""COMPUTED_VALUE"""),"III
 11:30-13:00")</f>
        <v>III
 11:30-13:00</v>
      </c>
      <c r="L30" s="165"/>
    </row>
    <row r="31" spans="1:12" ht="50.4" x14ac:dyDescent="0.25">
      <c r="A31" s="4"/>
      <c r="B31" s="144"/>
      <c r="C31" s="58" t="str">
        <f ca="1">IFERROR(__xludf.DUMMYFUNCTION("""COMPUTED_VALUE"""),"IV
 13:15-14:45")</f>
        <v>IV
 13:15-14:45</v>
      </c>
      <c r="D31" s="59"/>
      <c r="E31" s="179"/>
      <c r="F31" s="22"/>
      <c r="G31" s="60"/>
      <c r="H31" s="63" t="str">
        <f ca="1">IFERROR(__xludf.DUMMYFUNCTION("""COMPUTED_VALUE"""),"II: Tehn. de progr. (lab), 
I. Anghelova, 145a/4")</f>
        <v>II: Tehn. de progr. (lab), 
I. Anghelova, 145a/4</v>
      </c>
      <c r="I31" s="59" t="str">
        <f ca="1">IFERROR(__xludf.DUMMYFUNCTION("""COMPUTED_VALUE"""),"Sec. aplic. web (lab), 
I. Tican, 145/4")</f>
        <v>Sec. aplic. web (lab), 
I. Tican, 145/4</v>
      </c>
      <c r="J31" s="36"/>
      <c r="K31" s="62" t="str">
        <f ca="1">IFERROR(__xludf.DUMMYFUNCTION("""COMPUTED_VALUE"""),"IV
 13:15-14:45")</f>
        <v>IV
 13:15-14:45</v>
      </c>
      <c r="L31" s="165"/>
    </row>
    <row r="32" spans="1:12" ht="16.8" x14ac:dyDescent="0.25">
      <c r="A32" s="4"/>
      <c r="B32" s="144"/>
      <c r="C32" s="58" t="str">
        <f ca="1">IFERROR(__xludf.DUMMYFUNCTION("""COMPUTED_VALUE""")," V
15:00-16:30")</f>
        <v xml:space="preserve"> V
15:00-16:30</v>
      </c>
      <c r="D32" s="59"/>
      <c r="E32" s="179"/>
      <c r="F32" s="22"/>
      <c r="G32" s="60"/>
      <c r="H32" s="63"/>
      <c r="I32" s="59"/>
      <c r="J32" s="36"/>
      <c r="K32" s="62" t="str">
        <f ca="1">IFERROR(__xludf.DUMMYFUNCTION("""COMPUTED_VALUE""")," V
15:00-16:30")</f>
        <v xml:space="preserve"> V
15:00-16:30</v>
      </c>
      <c r="L32" s="165"/>
    </row>
    <row r="33" spans="1:12" ht="50.4" x14ac:dyDescent="0.25">
      <c r="A33" s="4"/>
      <c r="B33" s="145"/>
      <c r="C33" s="26" t="str">
        <f ca="1">IFERROR(__xludf.DUMMYFUNCTION("""COMPUTED_VALUE"""),"VI
 16:45-18:15")</f>
        <v>VI
 16:45-18:15</v>
      </c>
      <c r="D33" s="65"/>
      <c r="E33" s="175"/>
      <c r="F33" s="40"/>
      <c r="G33" s="40"/>
      <c r="H33" s="41"/>
      <c r="I33" s="65"/>
      <c r="J33" s="54"/>
      <c r="K33" s="66" t="str">
        <f ca="1">IFERROR(__xludf.DUMMYFUNCTION("""COMPUTED_VALUE"""),"VI
 16:45-18:15")</f>
        <v>VI
 16:45-18:15</v>
      </c>
      <c r="L33" s="166"/>
    </row>
    <row r="34" spans="1:12" ht="8.25" customHeight="1" collapsed="1" x14ac:dyDescent="0.25">
      <c r="A34" s="4"/>
      <c r="B34" s="4"/>
      <c r="C34" s="67"/>
      <c r="D34" s="68"/>
      <c r="E34" s="180"/>
      <c r="F34" s="67"/>
      <c r="G34" s="67"/>
      <c r="H34" s="67"/>
      <c r="I34" s="67"/>
      <c r="J34" s="67"/>
      <c r="K34" s="67"/>
      <c r="L34" s="4"/>
    </row>
    <row r="35" spans="1:12" ht="16.8" hidden="1" outlineLevel="1" x14ac:dyDescent="0.25">
      <c r="A35" s="4"/>
      <c r="B35" s="151"/>
      <c r="C35" s="152"/>
      <c r="D35" s="69"/>
      <c r="E35" s="155"/>
      <c r="F35" s="161"/>
      <c r="G35" s="161"/>
      <c r="H35" s="162"/>
      <c r="I35" s="155"/>
      <c r="J35" s="157"/>
      <c r="K35" s="2"/>
      <c r="L35" s="70"/>
    </row>
    <row r="36" spans="1:12" ht="16.8" hidden="1" outlineLevel="1" x14ac:dyDescent="0.3">
      <c r="A36" s="4"/>
      <c r="B36" s="159"/>
      <c r="C36" s="160"/>
      <c r="D36" s="71"/>
      <c r="E36" s="181"/>
      <c r="F36" s="73"/>
      <c r="G36" s="73"/>
      <c r="H36" s="74"/>
      <c r="I36" s="72"/>
      <c r="J36" s="74"/>
      <c r="K36" s="2"/>
      <c r="L36" s="75"/>
    </row>
    <row r="37" spans="1:12" ht="50.4" x14ac:dyDescent="0.25">
      <c r="A37" s="76"/>
      <c r="B37" s="143" t="str">
        <f ca="1">IFERROR(__xludf.DUMMYFUNCTION("""COMPUTED_VALUE"""),"Luni,
28.09.2026")</f>
        <v>Luni,
28.09.2026</v>
      </c>
      <c r="C37" s="77" t="str">
        <f ca="1">IFERROR(__xludf.DUMMYFUNCTION("""COMPUTED_VALUE""")," I
15:00-16:30")</f>
        <v xml:space="preserve"> I
15:00-16:30</v>
      </c>
      <c r="D37" s="78"/>
      <c r="E37" s="172" t="str">
        <f ca="1">IFERROR(__xludf.DUMMYFUNCTION("""COMPUTED_VALUE"""),"Mat. discr graf. (prel), 
A. Niculiță, 213a/4")</f>
        <v>Mat. discr graf. (prel), 
A. Niculiță, 213a/4</v>
      </c>
      <c r="F37" s="17" t="str">
        <f ca="1">IFERROR(__xludf.DUMMYFUNCTION("""COMPUTED_VALUE"""),"Mat. discr graf. (prel), 
A. Niculiță, 213a/4")</f>
        <v>Mat. discr graf. (prel), 
A. Niculiță, 213a/4</v>
      </c>
      <c r="G37" s="17" t="str">
        <f ca="1">IFERROR(__xludf.DUMMYFUNCTION("""COMPUTED_VALUE"""),"Mat. discr graf. (prel), 
A. Niculiță, 213a/4")</f>
        <v>Mat. discr graf. (prel), 
A. Niculiță, 213a/4</v>
      </c>
      <c r="H37" s="77"/>
      <c r="I37" s="78"/>
      <c r="J37" s="77"/>
      <c r="K37" s="77" t="str">
        <f ca="1">IFERROR(__xludf.DUMMYFUNCTION("""COMPUTED_VALUE""")," I
15:00-16:30")</f>
        <v xml:space="preserve"> I
15:00-16:30</v>
      </c>
      <c r="L37" s="139" t="str">
        <f ca="1">IFERROR(__xludf.DUMMYFUNCTION("""COMPUTED_VALUE"""),"Luni,
28.09.2026")</f>
        <v>Luni,
28.09.2026</v>
      </c>
    </row>
    <row r="38" spans="1:12" ht="50.4" x14ac:dyDescent="0.25">
      <c r="A38" s="76"/>
      <c r="B38" s="144"/>
      <c r="C38" s="47" t="str">
        <f ca="1">IFERROR(__xludf.DUMMYFUNCTION("""COMPUTED_VALUE""")," II
16:45-18:15")</f>
        <v xml:space="preserve"> II
16:45-18:15</v>
      </c>
      <c r="D38" s="35"/>
      <c r="E38" s="174" t="str">
        <f ca="1">IFERROR(__xludf.DUMMYFUNCTION("""COMPUTED_VALUE"""),"Mat. discr graf. (prel), 
A. Niculiță, 213a/4")</f>
        <v>Mat. discr graf. (prel), 
A. Niculiță, 213a/4</v>
      </c>
      <c r="F38" s="22" t="str">
        <f ca="1">IFERROR(__xludf.DUMMYFUNCTION("""COMPUTED_VALUE"""),"Mat. discr graf. (prel), 
A. Niculiță, 213a/4")</f>
        <v>Mat. discr graf. (prel), 
A. Niculiță, 213a/4</v>
      </c>
      <c r="G38" s="22" t="str">
        <f ca="1">IFERROR(__xludf.DUMMYFUNCTION("""COMPUTED_VALUE"""),"Mat. discr graf. (prel), 
A. Niculiță, 213a/4")</f>
        <v>Mat. discr graf. (prel), 
A. Niculiță, 213a/4</v>
      </c>
      <c r="H38" s="52" t="str">
        <f ca="1">IFERROR(__xludf.DUMMYFUNCTION("""COMPUTED_VALUE"""),"Mat. discr log. (prel), 
I. Cucu, 222/4")</f>
        <v>Mat. discr log. (prel), 
I. Cucu, 222/4</v>
      </c>
      <c r="I38" s="35" t="str">
        <f ca="1">IFERROR(__xludf.DUMMYFUNCTION("""COMPUTED_VALUE"""),"Fotogr. scan. 3D (prel), 
M. Corjan, 401/4")</f>
        <v>Fotogr. scan. 3D (prel), 
M. Corjan, 401/4</v>
      </c>
      <c r="J38" s="24" t="str">
        <f ca="1">IFERROR(__xludf.DUMMYFUNCTION("""COMPUTED_VALUE"""),"Sec. aplic. web (prel), 
V. Vișnevschi, 214/4")</f>
        <v>Sec. aplic. web (prel), 
V. Vișnevschi, 214/4</v>
      </c>
      <c r="K38" s="47" t="str">
        <f ca="1">IFERROR(__xludf.DUMMYFUNCTION("""COMPUTED_VALUE""")," II
16:45-18:15")</f>
        <v xml:space="preserve"> II
16:45-18:15</v>
      </c>
      <c r="L38" s="140"/>
    </row>
    <row r="39" spans="1:12" ht="33.6" x14ac:dyDescent="0.25">
      <c r="A39" s="76"/>
      <c r="B39" s="145"/>
      <c r="C39" s="48" t="str">
        <f ca="1">IFERROR(__xludf.DUMMYFUNCTION("""COMPUTED_VALUE"""),"III
18:30-20:00")</f>
        <v>III
18:30-20:00</v>
      </c>
      <c r="D39" s="65"/>
      <c r="E39" s="175"/>
      <c r="F39" s="40"/>
      <c r="G39" s="40"/>
      <c r="H39" s="79" t="str">
        <f ca="1">IFERROR(__xludf.DUMMYFUNCTION("""COMPUTED_VALUE"""),"Mat. discr log. (prel), 
I. Cucu, 222/4")</f>
        <v>Mat. discr log. (prel), 
I. Cucu, 222/4</v>
      </c>
      <c r="I39" s="65" t="str">
        <f ca="1">IFERROR(__xludf.DUMMYFUNCTION("""COMPUTED_VALUE"""),"Fotogr. scan. 3D (lab), 
M. Corjan, 143/4")</f>
        <v>Fotogr. scan. 3D (lab), 
M. Corjan, 143/4</v>
      </c>
      <c r="J39" s="54" t="str">
        <f ca="1">IFERROR(__xludf.DUMMYFUNCTION("""COMPUTED_VALUE"""),"Dezv. apl. server (prel), 
V. Vișnevschi, 214/4")</f>
        <v>Dezv. apl. server (prel), 
V. Vișnevschi, 214/4</v>
      </c>
      <c r="K39" s="48" t="str">
        <f ca="1">IFERROR(__xludf.DUMMYFUNCTION("""COMPUTED_VALUE"""),"III
18:30-20:00")</f>
        <v>III
18:30-20:00</v>
      </c>
      <c r="L39" s="141"/>
    </row>
    <row r="40" spans="1:12" ht="36.75" customHeight="1" x14ac:dyDescent="0.25">
      <c r="A40" s="76"/>
      <c r="B40" s="143" t="str">
        <f ca="1">IFERROR(__xludf.DUMMYFUNCTION("""COMPUTED_VALUE"""),"Marți,
29.09.2026")</f>
        <v>Marți,
29.09.2026</v>
      </c>
      <c r="C40" s="21" t="str">
        <f ca="1">IFERROR(__xludf.DUMMYFUNCTION("""COMPUTED_VALUE"""),"13:15-14:45")</f>
        <v>13:15-14:45</v>
      </c>
      <c r="D40" s="25"/>
      <c r="E40" s="182"/>
      <c r="F40" s="80"/>
      <c r="G40" s="80"/>
      <c r="H40" s="81"/>
      <c r="I40" s="25"/>
      <c r="J40" s="24"/>
      <c r="K40" s="82" t="str">
        <f ca="1">IFERROR(__xludf.DUMMYFUNCTION("""COMPUTED_VALUE"""),"13:15-14:45")</f>
        <v>13:15-14:45</v>
      </c>
      <c r="L40" s="139" t="str">
        <f ca="1">IFERROR(__xludf.DUMMYFUNCTION("""COMPUTED_VALUE"""),"Marți,
29.09.2026")</f>
        <v>Marți,
29.09.2026</v>
      </c>
    </row>
    <row r="41" spans="1:12" ht="67.2" x14ac:dyDescent="0.25">
      <c r="A41" s="76"/>
      <c r="B41" s="144"/>
      <c r="C41" s="43" t="str">
        <f ca="1">IFERROR(__xludf.DUMMYFUNCTION("""COMPUTED_VALUE""")," I
15:00-16:30")</f>
        <v xml:space="preserve"> I
15:00-16:30</v>
      </c>
      <c r="D41" s="22" t="str">
        <f ca="1">IFERROR(__xludf.DUMMYFUNCTION("""COMPUTED_VALUE"""),"Analiza funct. (sem), 
V. Popa, 419/4
Teoria prob. (sem), 
V. Popa, 419/4")</f>
        <v>Analiza funct. (sem), 
V. Popa, 419/4
Teoria prob. (sem), 
V. Popa, 419/4</v>
      </c>
      <c r="E41" s="182" t="str">
        <f ca="1">IFERROR(__xludf.DUMMYFUNCTION("""COMPUTED_VALUE"""),"Tehn. de progr. (lab), 
N. Lupu, 145/4")</f>
        <v>Tehn. de progr. (lab), 
N. Lupu, 145/4</v>
      </c>
      <c r="F41" s="80"/>
      <c r="G41" s="80"/>
      <c r="H41" s="81" t="str">
        <f ca="1">IFERROR(__xludf.DUMMYFUNCTION("""COMPUTED_VALUE"""),"Mat. discr log. (prel), 
I. Cucu, 214/4")</f>
        <v>Mat. discr log. (prel), 
I. Cucu, 214/4</v>
      </c>
      <c r="I41" s="25"/>
      <c r="J41" s="24"/>
      <c r="K41" s="43" t="str">
        <f ca="1">IFERROR(__xludf.DUMMYFUNCTION("""COMPUTED_VALUE""")," I
15:00-16:30")</f>
        <v xml:space="preserve"> I
15:00-16:30</v>
      </c>
      <c r="L41" s="140"/>
    </row>
    <row r="42" spans="1:12" ht="33.6" x14ac:dyDescent="0.25">
      <c r="A42" s="76"/>
      <c r="B42" s="144"/>
      <c r="C42" s="47" t="str">
        <f ca="1">IFERROR(__xludf.DUMMYFUNCTION("""COMPUTED_VALUE"""),"II
16:45-18:15")</f>
        <v>II
16:45-18:15</v>
      </c>
      <c r="D42" s="31" t="str">
        <f ca="1">IFERROR(__xludf.DUMMYFUNCTION("""COMPUTED_VALUE"""),"Fund. program. (prel), 
N. Nartea, 415/4")</f>
        <v>Fund. program. (prel), 
N. Nartea, 415/4</v>
      </c>
      <c r="E42" s="182" t="str">
        <f ca="1">IFERROR(__xludf.DUMMYFUNCTION("""COMPUTED_VALUE"""),"Mat. discr log. (prel), 
I. Cucu, 113/4")</f>
        <v>Mat. discr log. (prel), 
I. Cucu, 113/4</v>
      </c>
      <c r="F42" s="80" t="str">
        <f ca="1">IFERROR(__xludf.DUMMYFUNCTION("""COMPUTED_VALUE"""),"Mat. discr log. (prel), 
I. Cucu, 113/4")</f>
        <v>Mat. discr log. (prel), 
I. Cucu, 113/4</v>
      </c>
      <c r="G42" s="80" t="str">
        <f ca="1">IFERROR(__xludf.DUMMYFUNCTION("""COMPUTED_VALUE"""),"Mat. discr log. (prel), 
I. Cucu, 113/4")</f>
        <v>Mat. discr log. (prel), 
I. Cucu, 113/4</v>
      </c>
      <c r="H42" s="81" t="str">
        <f ca="1">IFERROR(__xludf.DUMMYFUNCTION("""COMPUTED_VALUE"""),"BD (prel), 
B. Vișnevschi, 214/4")</f>
        <v>BD (prel), 
B. Vișnevschi, 214/4</v>
      </c>
      <c r="I42" s="25" t="str">
        <f ca="1">IFERROR(__xludf.DUMMYFUNCTION("""COMPUTED_VALUE"""),"Fotogr. scan. 3D (prel), 
M. Corjan, 222/4")</f>
        <v>Fotogr. scan. 3D (prel), 
M. Corjan, 222/4</v>
      </c>
      <c r="J42" s="24"/>
      <c r="K42" s="47" t="str">
        <f ca="1">IFERROR(__xludf.DUMMYFUNCTION("""COMPUTED_VALUE"""),"II
16:45-18:15")</f>
        <v>II
16:45-18:15</v>
      </c>
      <c r="L42" s="140"/>
    </row>
    <row r="43" spans="1:12" ht="33.6" x14ac:dyDescent="0.25">
      <c r="A43" s="76"/>
      <c r="B43" s="145"/>
      <c r="C43" s="48" t="str">
        <f ca="1">IFERROR(__xludf.DUMMYFUNCTION("""COMPUTED_VALUE""")," III
18:30-20:00")</f>
        <v xml:space="preserve"> III
18:30-20:00</v>
      </c>
      <c r="D43" s="27" t="str">
        <f ca="1">IFERROR(__xludf.DUMMYFUNCTION("""COMPUTED_VALUE"""),"Fund. program. (prel), 
N. Nartea, 415/4")</f>
        <v>Fund. program. (prel), 
N. Nartea, 415/4</v>
      </c>
      <c r="E43" s="171" t="str">
        <f ca="1">IFERROR(__xludf.DUMMYFUNCTION("""COMPUTED_VALUE"""),"Mat. discr log. (prel), 
I. Cucu, 113/4")</f>
        <v>Mat. discr log. (prel), 
I. Cucu, 113/4</v>
      </c>
      <c r="F43" s="28" t="str">
        <f ca="1">IFERROR(__xludf.DUMMYFUNCTION("""COMPUTED_VALUE"""),"Mat. discr log. (prel), 
I. Cucu, 113/4")</f>
        <v>Mat. discr log. (prel), 
I. Cucu, 113/4</v>
      </c>
      <c r="G43" s="28" t="str">
        <f ca="1">IFERROR(__xludf.DUMMYFUNCTION("""COMPUTED_VALUE"""),"Mat. discr log. (prel), 
I. Cucu, 113/4")</f>
        <v>Mat. discr log. (prel), 
I. Cucu, 113/4</v>
      </c>
      <c r="H43" s="41" t="str">
        <f ca="1">IFERROR(__xludf.DUMMYFUNCTION("""COMPUTED_VALUE""")," I: BD (lab), 
B. Vișnevschi, 145/4")</f>
        <v xml:space="preserve"> I: BD (lab), 
B. Vișnevschi, 145/4</v>
      </c>
      <c r="I43" s="27" t="str">
        <f ca="1">IFERROR(__xludf.DUMMYFUNCTION("""COMPUTED_VALUE"""),"Fotogr. scan. 3D (lab), 
M. Corjan, 145a/4")</f>
        <v>Fotogr. scan. 3D (lab), 
M. Corjan, 145a/4</v>
      </c>
      <c r="J43" s="54" t="str">
        <f ca="1">IFERROR(__xludf.DUMMYFUNCTION("""COMPUTED_VALUE"""),"Dezv. apl. server (lab), 
V. Vișnevschi, 350/4")</f>
        <v>Dezv. apl. server (lab), 
V. Vișnevschi, 350/4</v>
      </c>
      <c r="K43" s="48" t="str">
        <f ca="1">IFERROR(__xludf.DUMMYFUNCTION("""COMPUTED_VALUE""")," III
18:30-20:00")</f>
        <v xml:space="preserve"> III
18:30-20:00</v>
      </c>
      <c r="L43" s="141"/>
    </row>
    <row r="44" spans="1:12" ht="16.8" x14ac:dyDescent="0.25">
      <c r="A44" s="76"/>
      <c r="B44" s="143" t="str">
        <f ca="1">IFERROR(__xludf.DUMMYFUNCTION("""COMPUTED_VALUE"""),"Miercuri,
30.09.2026")</f>
        <v>Miercuri,
30.09.2026</v>
      </c>
      <c r="C44" s="82" t="str">
        <f ca="1">IFERROR(__xludf.DUMMYFUNCTION("""COMPUTED_VALUE""")," I
15:00-16:30")</f>
        <v xml:space="preserve"> I
15:00-16:30</v>
      </c>
      <c r="D44" s="44"/>
      <c r="E44" s="182"/>
      <c r="F44" s="80"/>
      <c r="G44" s="80" t="str">
        <f ca="1">IFERROR(__xludf.DUMMYFUNCTION("""COMPUTED_VALUE"""),"Tehn. de progr. (lab), 
D. Semeniuc, 145a/4")</f>
        <v>Tehn. de progr. (lab), 
D. Semeniuc, 145a/4</v>
      </c>
      <c r="H44" s="83" t="str">
        <f ca="1">IFERROR(__xludf.DUMMYFUNCTION("""COMPUTED_VALUE"""),"Mat. discr graf. (prel), 
A. Niculiță, 213a/4")</f>
        <v>Mat. discr graf. (prel), 
A. Niculiță, 213a/4</v>
      </c>
      <c r="I44" s="25"/>
      <c r="J44" s="24"/>
      <c r="K44" s="82" t="str">
        <f ca="1">IFERROR(__xludf.DUMMYFUNCTION("""COMPUTED_VALUE""")," I
15:00-16:30")</f>
        <v xml:space="preserve"> I
15:00-16:30</v>
      </c>
      <c r="L44" s="139" t="str">
        <f ca="1">IFERROR(__xludf.DUMMYFUNCTION("""COMPUTED_VALUE"""),"Miercuri,
30.09.2026")</f>
        <v>Miercuri,
30.09.2026</v>
      </c>
    </row>
    <row r="45" spans="1:12" ht="50.4" x14ac:dyDescent="0.25">
      <c r="A45" s="76"/>
      <c r="B45" s="144"/>
      <c r="C45" s="47" t="str">
        <f ca="1">IFERROR(__xludf.DUMMYFUNCTION("""COMPUTED_VALUE""")," II
16:45-18:15")</f>
        <v xml:space="preserve"> II
16:45-18:15</v>
      </c>
      <c r="D45" s="25"/>
      <c r="E45" s="174" t="str">
        <f ca="1">IFERROR(__xludf.DUMMYFUNCTION("""COMPUTED_VALUE"""),"BD (prel), 
D. Semeniuc, 113/4")</f>
        <v>BD (prel), 
D. Semeniuc, 113/4</v>
      </c>
      <c r="F45" s="22" t="str">
        <f ca="1">IFERROR(__xludf.DUMMYFUNCTION("""COMPUTED_VALUE"""),"BD (prel), 
D. Semeniuc, 113/4")</f>
        <v>BD (prel), 
D. Semeniuc, 113/4</v>
      </c>
      <c r="G45" s="22" t="str">
        <f ca="1">IFERROR(__xludf.DUMMYFUNCTION("""COMPUTED_VALUE"""),"BD (prel), 
D. Semeniuc, 113/4")</f>
        <v>BD (prel), 
D. Semeniuc, 113/4</v>
      </c>
      <c r="H45" s="24" t="str">
        <f ca="1">IFERROR(__xludf.DUMMYFUNCTION("""COMPUTED_VALUE"""),"Mat. discr graf. (prel), 
A. Niculiță, 213a/4")</f>
        <v>Mat. discr graf. (prel), 
A. Niculiță, 213a/4</v>
      </c>
      <c r="I45" s="25"/>
      <c r="J45" s="24" t="str">
        <f ca="1">IFERROR(__xludf.DUMMYFUNCTION("""COMPUTED_VALUE"""),"Met. stat. date (prel), 
V. Trebiș, 214/4")</f>
        <v>Met. stat. date (prel), 
V. Trebiș, 214/4</v>
      </c>
      <c r="K45" s="47" t="str">
        <f ca="1">IFERROR(__xludf.DUMMYFUNCTION("""COMPUTED_VALUE""")," II
16:45-18:15")</f>
        <v xml:space="preserve"> II
16:45-18:15</v>
      </c>
      <c r="L45" s="140"/>
    </row>
    <row r="46" spans="1:12" ht="33.6" x14ac:dyDescent="0.25">
      <c r="A46" s="76"/>
      <c r="B46" s="145"/>
      <c r="C46" s="48" t="str">
        <f ca="1">IFERROR(__xludf.DUMMYFUNCTION("""COMPUTED_VALUE"""),"III
 18:30-20:00")</f>
        <v>III
 18:30-20:00</v>
      </c>
      <c r="D46" s="84"/>
      <c r="E46" s="175" t="str">
        <f ca="1">IFERROR(__xludf.DUMMYFUNCTION("""COMPUTED_VALUE"""),"BD (prel), 
D. Semeniuc, 113/4")</f>
        <v>BD (prel), 
D. Semeniuc, 113/4</v>
      </c>
      <c r="F46" s="27" t="str">
        <f ca="1">IFERROR(__xludf.DUMMYFUNCTION("""COMPUTED_VALUE"""),"BD (prel), 
D. Semeniuc, 113/4")</f>
        <v>BD (prel), 
D. Semeniuc, 113/4</v>
      </c>
      <c r="G46" s="27" t="str">
        <f ca="1">IFERROR(__xludf.DUMMYFUNCTION("""COMPUTED_VALUE"""),"BD (prel), 
D. Semeniuc, 113/4")</f>
        <v>BD (prel), 
D. Semeniuc, 113/4</v>
      </c>
      <c r="H46" s="41"/>
      <c r="I46" s="27" t="str">
        <f ca="1">IFERROR(__xludf.DUMMYFUNCTION("""COMPUTED_VALUE""")," I: Met. stat. date (lab), 
V. Trebiș, 145/4")</f>
        <v xml:space="preserve"> I: Met. stat. date (lab), 
V. Trebiș, 145/4</v>
      </c>
      <c r="J46" s="54" t="str">
        <f ca="1">IFERROR(__xludf.DUMMYFUNCTION("""COMPUTED_VALUE"""),"Dezv. apl. server (prel), 
V. Vișnevschi, 214/4")</f>
        <v>Dezv. apl. server (prel), 
V. Vișnevschi, 214/4</v>
      </c>
      <c r="K46" s="48" t="str">
        <f ca="1">IFERROR(__xludf.DUMMYFUNCTION("""COMPUTED_VALUE"""),"III
 18:30-20:00")</f>
        <v>III
 18:30-20:00</v>
      </c>
      <c r="L46" s="141"/>
    </row>
    <row r="47" spans="1:12" ht="16.8" x14ac:dyDescent="0.25">
      <c r="A47" s="76"/>
      <c r="B47" s="143" t="str">
        <f ca="1">IFERROR(__xludf.DUMMYFUNCTION("""COMPUTED_VALUE"""),"Joi,
01.10.2026")</f>
        <v>Joi,
01.10.2026</v>
      </c>
      <c r="C47" s="82" t="str">
        <f ca="1">IFERROR(__xludf.DUMMYFUNCTION("""COMPUTED_VALUE"""),"13:15-14:45")</f>
        <v>13:15-14:45</v>
      </c>
      <c r="D47" s="44"/>
      <c r="E47" s="182"/>
      <c r="F47" s="80"/>
      <c r="G47" s="80"/>
      <c r="H47" s="81"/>
      <c r="I47" s="25"/>
      <c r="J47" s="24"/>
      <c r="K47" s="82" t="str">
        <f ca="1">IFERROR(__xludf.DUMMYFUNCTION("""COMPUTED_VALUE"""),"13:15-14:45")</f>
        <v>13:15-14:45</v>
      </c>
      <c r="L47" s="139" t="str">
        <f ca="1">IFERROR(__xludf.DUMMYFUNCTION("""COMPUTED_VALUE"""),"Joi,
01.10.2026")</f>
        <v>Joi,
01.10.2026</v>
      </c>
    </row>
    <row r="48" spans="1:12" ht="50.4" x14ac:dyDescent="0.25">
      <c r="A48" s="76"/>
      <c r="B48" s="144"/>
      <c r="C48" s="85" t="str">
        <f ca="1">IFERROR(__xludf.DUMMYFUNCTION("""COMPUTED_VALUE""")," I
15:00-16:30")</f>
        <v xml:space="preserve"> I
15:00-16:30</v>
      </c>
      <c r="D48" s="31" t="str">
        <f ca="1">IFERROR(__xludf.DUMMYFUNCTION("""COMPUTED_VALUE"""),"Ecuații dif. (sem), 
G. Sprincean, 412/c")</f>
        <v>Ecuații dif. (sem), 
G. Sprincean, 412/c</v>
      </c>
      <c r="E48" s="173" t="str">
        <f ca="1">IFERROR(__xludf.DUMMYFUNCTION("""COMPUTED_VALUE"""),"Mat. discr graf. (lab), 
C. Țurcanu, 216a/4a")</f>
        <v>Mat. discr graf. (lab), 
C. Țurcanu, 216a/4a</v>
      </c>
      <c r="F48" s="22" t="str">
        <f ca="1">IFERROR(__xludf.DUMMYFUNCTION("""COMPUTED_VALUE"""),"Etica prof și acad (sem), 
D. Semeniuc, 214/4")</f>
        <v>Etica prof și acad (sem), 
D. Semeniuc, 214/4</v>
      </c>
      <c r="G48" s="32" t="str">
        <f ca="1">IFERROR(__xludf.DUMMYFUNCTION("""COMPUTED_VALUE"""),"Mat. discr graf. (lab), 
C. Țurcanu, 216a/4a")</f>
        <v>Mat. discr graf. (lab), 
C. Țurcanu, 216a/4a</v>
      </c>
      <c r="H48" s="49"/>
      <c r="I48" s="25"/>
      <c r="J48" s="24"/>
      <c r="K48" s="85" t="str">
        <f ca="1">IFERROR(__xludf.DUMMYFUNCTION("""COMPUTED_VALUE""")," I
15:00-16:30")</f>
        <v xml:space="preserve"> I
15:00-16:30</v>
      </c>
      <c r="L48" s="140"/>
    </row>
    <row r="49" spans="1:12" ht="33.6" x14ac:dyDescent="0.25">
      <c r="A49" s="76"/>
      <c r="B49" s="144"/>
      <c r="C49" s="47" t="str">
        <f ca="1">IFERROR(__xludf.DUMMYFUNCTION("""COMPUTED_VALUE"""),"II
 16:45-18:15")</f>
        <v>II
 16:45-18:15</v>
      </c>
      <c r="D49" s="31" t="str">
        <f ca="1">IFERROR(__xludf.DUMMYFUNCTION("""COMPUTED_VALUE"""),"Ecuații dif. (prel), 
G. Sprincean, 412/c")</f>
        <v>Ecuații dif. (prel), 
G. Sprincean, 412/c</v>
      </c>
      <c r="E49" s="173" t="str">
        <f ca="1">IFERROR(__xludf.DUMMYFUNCTION("""COMPUTED_VALUE"""),"Mat. discr graf. (lab), 
C. Țurcanu, 216a/4a")</f>
        <v>Mat. discr graf. (lab), 
C. Țurcanu, 216a/4a</v>
      </c>
      <c r="F49" s="32" t="str">
        <f ca="1">IFERROR(__xludf.DUMMYFUNCTION("""COMPUTED_VALUE"""),"BD (lab), 
D. Semeniuc, 143/4")</f>
        <v>BD (lab), 
D. Semeniuc, 143/4</v>
      </c>
      <c r="G49" s="32" t="str">
        <f ca="1">IFERROR(__xludf.DUMMYFUNCTION("""COMPUTED_VALUE"""),"Mat. discr graf. (lab), 
C. Țurcanu, 216a/4a")</f>
        <v>Mat. discr graf. (lab), 
C. Țurcanu, 216a/4a</v>
      </c>
      <c r="H49" s="24"/>
      <c r="I49" s="25"/>
      <c r="J49" s="24" t="str">
        <f ca="1">IFERROR(__xludf.DUMMYFUNCTION("""COMPUTED_VALUE"""),"Testare soft (prel), 
G. Marin, 415/4")</f>
        <v>Testare soft (prel), 
G. Marin, 415/4</v>
      </c>
      <c r="K49" s="47" t="str">
        <f ca="1">IFERROR(__xludf.DUMMYFUNCTION("""COMPUTED_VALUE"""),"II
 16:45-18:15")</f>
        <v>II
 16:45-18:15</v>
      </c>
      <c r="L49" s="140"/>
    </row>
    <row r="50" spans="1:12" ht="33.6" x14ac:dyDescent="0.25">
      <c r="A50" s="76"/>
      <c r="B50" s="145"/>
      <c r="C50" s="48" t="str">
        <f ca="1">IFERROR(__xludf.DUMMYFUNCTION("""COMPUTED_VALUE"""),"III
 18:30-20:00")</f>
        <v>III
 18:30-20:00</v>
      </c>
      <c r="D50" s="86"/>
      <c r="E50" s="171"/>
      <c r="F50" s="27" t="str">
        <f ca="1">IFERROR(__xludf.DUMMYFUNCTION("""COMPUTED_VALUE"""),"BD (lab), 
D. Semeniuc, 143/4")</f>
        <v>BD (lab), 
D. Semeniuc, 143/4</v>
      </c>
      <c r="G50" s="28"/>
      <c r="H50" s="54"/>
      <c r="I50" s="27"/>
      <c r="J50" s="54" t="str">
        <f ca="1">IFERROR(__xludf.DUMMYFUNCTION("""COMPUTED_VALUE"""),"Testare soft (lab), 
G. Marin, 350/4")</f>
        <v>Testare soft (lab), 
G. Marin, 350/4</v>
      </c>
      <c r="K50" s="48" t="str">
        <f ca="1">IFERROR(__xludf.DUMMYFUNCTION("""COMPUTED_VALUE"""),"III
 18:30-20:00")</f>
        <v>III
 18:30-20:00</v>
      </c>
      <c r="L50" s="141"/>
    </row>
    <row r="51" spans="1:12" ht="33.6" x14ac:dyDescent="0.25">
      <c r="A51" s="76"/>
      <c r="B51" s="143" t="str">
        <f ca="1">IFERROR(__xludf.DUMMYFUNCTION("""COMPUTED_VALUE"""),"Vineri,
02.10.2026")</f>
        <v>Vineri,
02.10.2026</v>
      </c>
      <c r="C51" s="82" t="str">
        <f ca="1">IFERROR(__xludf.DUMMYFUNCTION("""COMPUTED_VALUE""")," I
15:00-16:30")</f>
        <v xml:space="preserve"> I
15:00-16:30</v>
      </c>
      <c r="D51" s="31" t="str">
        <f ca="1">IFERROR(__xludf.DUMMYFUNCTION("""COMPUTED_VALUE"""),"Fund. program. (lab), 
N. Nartea, 254/4")</f>
        <v>Fund. program. (lab), 
N. Nartea, 254/4</v>
      </c>
      <c r="E51" s="182"/>
      <c r="F51" s="80" t="str">
        <f ca="1">IFERROR(__xludf.DUMMYFUNCTION("""COMPUTED_VALUE"""),"Mat. discr graf. (lab), 
C. Țurcanu, 216a/4a")</f>
        <v>Mat. discr graf. (lab), 
C. Țurcanu, 216a/4a</v>
      </c>
      <c r="G51" s="87" t="str">
        <f ca="1">IFERROR(__xludf.DUMMYFUNCTION("""COMPUTED_VALUE"""),"Tehn. de progr. (lab), 
D. Semeniuc, 251/4")</f>
        <v>Tehn. de progr. (lab), 
D. Semeniuc, 251/4</v>
      </c>
      <c r="H51" s="81" t="str">
        <f ca="1">IFERROR(__xludf.DUMMYFUNCTION("""COMPUTED_VALUE"""),"Etica prof și acad (prel), 
M. Marin, 113/4")</f>
        <v>Etica prof și acad (prel), 
M. Marin, 113/4</v>
      </c>
      <c r="I51" s="25" t="str">
        <f ca="1">IFERROR(__xludf.DUMMYFUNCTION("""COMPUTED_VALUE"""),"II: Testare soft (lab), 
N. Lupu, 326/4")</f>
        <v>II: Testare soft (lab), 
N. Lupu, 326/4</v>
      </c>
      <c r="J51" s="24"/>
      <c r="K51" s="82" t="str">
        <f ca="1">IFERROR(__xludf.DUMMYFUNCTION("""COMPUTED_VALUE""")," I
15:00-16:30")</f>
        <v xml:space="preserve"> I
15:00-16:30</v>
      </c>
      <c r="L51" s="139" t="str">
        <f ca="1">IFERROR(__xludf.DUMMYFUNCTION("""COMPUTED_VALUE"""),"Vineri,
02.10.2026")</f>
        <v>Vineri,
02.10.2026</v>
      </c>
    </row>
    <row r="52" spans="1:12" ht="50.4" x14ac:dyDescent="0.25">
      <c r="A52" s="76"/>
      <c r="B52" s="144"/>
      <c r="C52" s="47" t="str">
        <f ca="1">IFERROR(__xludf.DUMMYFUNCTION("""COMPUTED_VALUE"""),"II
 16:45-18:15")</f>
        <v>II
 16:45-18:15</v>
      </c>
      <c r="D52" s="22"/>
      <c r="E52" s="174" t="str">
        <f ca="1">IFERROR(__xludf.DUMMYFUNCTION("""COMPUTED_VALUE"""),"Etica prof și acad (sem), 
D. Semeniuc, 401/4")</f>
        <v>Etica prof și acad (sem), 
D. Semeniuc, 401/4</v>
      </c>
      <c r="F52" s="32" t="str">
        <f ca="1">IFERROR(__xludf.DUMMYFUNCTION("""COMPUTED_VALUE"""),"Mat. discr graf. (lab), 
C. Țurcanu, 216a/4a")</f>
        <v>Mat. discr graf. (lab), 
C. Țurcanu, 216a/4a</v>
      </c>
      <c r="G52" s="32" t="str">
        <f ca="1">IFERROR(__xludf.DUMMYFUNCTION("""COMPUTED_VALUE"""),"Etica prof și acad (sem), 
D. Semeniuc, 401/4")</f>
        <v>Etica prof și acad (sem), 
D. Semeniuc, 401/4</v>
      </c>
      <c r="H52" s="24" t="str">
        <f ca="1">IFERROR(__xludf.DUMMYFUNCTION("""COMPUTED_VALUE"""),"Etica prof și acad (sem), 
M. Marin, 113/4")</f>
        <v>Etica prof și acad (sem), 
M. Marin, 113/4</v>
      </c>
      <c r="I52" s="25" t="str">
        <f ca="1">IFERROR(__xludf.DUMMYFUNCTION("""COMPUTED_VALUE"""),"Testare Soft (prel), 
N. Lupu, 213a/4")</f>
        <v>Testare Soft (prel), 
N. Lupu, 213a/4</v>
      </c>
      <c r="J52" s="24"/>
      <c r="K52" s="47" t="str">
        <f ca="1">IFERROR(__xludf.DUMMYFUNCTION("""COMPUTED_VALUE"""),"II
 16:45-18:15")</f>
        <v>II
 16:45-18:15</v>
      </c>
      <c r="L52" s="140"/>
    </row>
    <row r="53" spans="1:12" ht="50.4" x14ac:dyDescent="0.25">
      <c r="A53" s="76"/>
      <c r="B53" s="145"/>
      <c r="C53" s="48" t="str">
        <f ca="1">IFERROR(__xludf.DUMMYFUNCTION("""COMPUTED_VALUE"""),"III
 18:30-20:00")</f>
        <v>III
 18:30-20:00</v>
      </c>
      <c r="D53" s="86"/>
      <c r="E53" s="175" t="str">
        <f ca="1">IFERROR(__xludf.DUMMYFUNCTION("""COMPUTED_VALUE"""),"Etica prof și acad (sem), 
D. Semeniuc, 401/4")</f>
        <v>Etica prof și acad (sem), 
D. Semeniuc, 401/4</v>
      </c>
      <c r="F53" s="28" t="str">
        <f ca="1">IFERROR(__xludf.DUMMYFUNCTION("""COMPUTED_VALUE"""),"Tehn. de progr. (lab), 
N. Lupu, 326/4")</f>
        <v>Tehn. de progr. (lab), 
N. Lupu, 326/4</v>
      </c>
      <c r="G53" s="28" t="str">
        <f ca="1">IFERROR(__xludf.DUMMYFUNCTION("""COMPUTED_VALUE"""),"Etica prof și acad (sem), 
D. Semeniuc, 401/4")</f>
        <v>Etica prof și acad (sem), 
D. Semeniuc, 401/4</v>
      </c>
      <c r="H53" s="54"/>
      <c r="I53" s="88"/>
      <c r="J53" s="54" t="str">
        <f ca="1">IFERROR(__xludf.DUMMYFUNCTION("""COMPUTED_VALUE"""),"Sec. aplic. web (lab), 
V. Vișnevschi, 237/4")</f>
        <v>Sec. aplic. web (lab), 
V. Vișnevschi, 237/4</v>
      </c>
      <c r="K53" s="48" t="str">
        <f ca="1">IFERROR(__xludf.DUMMYFUNCTION("""COMPUTED_VALUE"""),"III
 18:30-20:00")</f>
        <v>III
 18:30-20:00</v>
      </c>
      <c r="L53" s="141"/>
    </row>
    <row r="54" spans="1:12" ht="33.6" x14ac:dyDescent="0.25">
      <c r="A54" s="76"/>
      <c r="B54" s="143" t="str">
        <f ca="1">IFERROR(__xludf.DUMMYFUNCTION("""COMPUTED_VALUE"""),"Sîmbătă,
03.10.2026")</f>
        <v>Sîmbătă,
03.10.2026</v>
      </c>
      <c r="C54" s="43" t="str">
        <f ca="1">IFERROR(__xludf.DUMMYFUNCTION("""COMPUTED_VALUE"""),"I
 08:00-9:30")</f>
        <v>I
 08:00-9:30</v>
      </c>
      <c r="D54" s="44" t="str">
        <f ca="1">IFERROR(__xludf.DUMMYFUNCTION("""COMPUTED_VALUE"""),"L. str. (sem), 
G. Ciudin, 213a/4")</f>
        <v>L. str. (sem), 
G. Ciudin, 213a/4</v>
      </c>
      <c r="E54" s="174" t="str">
        <f ca="1">IFERROR(__xludf.DUMMYFUNCTION("""COMPUTED_VALUE"""),"L. str. (sem), 
G. Ciudin, 213a/4")</f>
        <v>L. str. (sem), 
G. Ciudin, 213a/4</v>
      </c>
      <c r="F54" s="22" t="str">
        <f ca="1">IFERROR(__xludf.DUMMYFUNCTION("""COMPUTED_VALUE"""),"L. str. (sem), 
G. Ciudin, 213a/4")</f>
        <v>L. str. (sem), 
G. Ciudin, 213a/4</v>
      </c>
      <c r="G54" s="22" t="str">
        <f ca="1">IFERROR(__xludf.DUMMYFUNCTION("""COMPUTED_VALUE"""),"L. str. (sem), 
G. Ciudin, 213a/4")</f>
        <v>L. str. (sem), 
G. Ciudin, 213a/4</v>
      </c>
      <c r="H54" s="81" t="str">
        <f ca="1">IFERROR(__xludf.DUMMYFUNCTION("""COMPUTED_VALUE"""),"Tehn. de progr. (prel), 
I. Anghelova, 113/4")</f>
        <v>Tehn. de progr. (prel), 
I. Anghelova, 113/4</v>
      </c>
      <c r="I54" s="32" t="str">
        <f ca="1">IFERROR(__xludf.DUMMYFUNCTION("""COMPUTED_VALUE"""),"Sec. retelelor (prel), 
I. Tican, 401/4")</f>
        <v>Sec. retelelor (prel), 
I. Tican, 401/4</v>
      </c>
      <c r="J54" s="24" t="str">
        <f ca="1">IFERROR(__xludf.DUMMYFUNCTION("""COMPUTED_VALUE"""),"Met. stat. date (prel), 
V. Trebiș, 404/4")</f>
        <v>Met. stat. date (prel), 
V. Trebiș, 404/4</v>
      </c>
      <c r="K54" s="43" t="str">
        <f ca="1">IFERROR(__xludf.DUMMYFUNCTION("""COMPUTED_VALUE"""),"I
 08:00-9:30")</f>
        <v>I
 08:00-9:30</v>
      </c>
      <c r="L54" s="139" t="str">
        <f ca="1">IFERROR(__xludf.DUMMYFUNCTION("""COMPUTED_VALUE"""),"Sîmbătă,
03.10.2026")</f>
        <v>Sîmbătă,
03.10.2026</v>
      </c>
    </row>
    <row r="55" spans="1:12" ht="33.6" x14ac:dyDescent="0.25">
      <c r="A55" s="76"/>
      <c r="B55" s="144"/>
      <c r="C55" s="47" t="str">
        <f ca="1">IFERROR(__xludf.DUMMYFUNCTION("""COMPUTED_VALUE"""),"II
 09:45-11:15")</f>
        <v>II
 09:45-11:15</v>
      </c>
      <c r="D55" s="25" t="str">
        <f ca="1">IFERROR(__xludf.DUMMYFUNCTION("""COMPUTED_VALUE"""),"L. str. (sem), 
G. Ciudin, 213a/4")</f>
        <v>L. str. (sem), 
G. Ciudin, 213a/4</v>
      </c>
      <c r="E55" s="178" t="str">
        <f ca="1">IFERROR(__xludf.DUMMYFUNCTION("""COMPUTED_VALUE"""),"L. str. (sem), 
G. Ciudin, 213a/4")</f>
        <v>L. str. (sem), 
G. Ciudin, 213a/4</v>
      </c>
      <c r="F55" s="33" t="str">
        <f ca="1">IFERROR(__xludf.DUMMYFUNCTION("""COMPUTED_VALUE"""),"L. str. (sem), 
G. Ciudin, 213a/4")</f>
        <v>L. str. (sem), 
G. Ciudin, 213a/4</v>
      </c>
      <c r="G55" s="33" t="str">
        <f ca="1">IFERROR(__xludf.DUMMYFUNCTION("""COMPUTED_VALUE"""),"L. str. (sem), 
G. Ciudin, 213a/4")</f>
        <v>L. str. (sem), 
G. Ciudin, 213a/4</v>
      </c>
      <c r="H55" s="49" t="str">
        <f ca="1">IFERROR(__xludf.DUMMYFUNCTION("""COMPUTED_VALUE"""),"Tehn. de progr. (prel), 
I. Anghelova, 113/4")</f>
        <v>Tehn. de progr. (prel), 
I. Anghelova, 113/4</v>
      </c>
      <c r="I55" s="25" t="str">
        <f ca="1">IFERROR(__xludf.DUMMYFUNCTION("""COMPUTED_VALUE"""),"Dezv. apl. server (lab), 
A. Gligor, 145/4")</f>
        <v>Dezv. apl. server (lab), 
A. Gligor, 145/4</v>
      </c>
      <c r="J55" s="24" t="str">
        <f ca="1">IFERROR(__xludf.DUMMYFUNCTION("""COMPUTED_VALUE"""),"Met. stat. date (prel), 
V. Trebiș, 404/4")</f>
        <v>Met. stat. date (prel), 
V. Trebiș, 404/4</v>
      </c>
      <c r="K55" s="47" t="str">
        <f ca="1">IFERROR(__xludf.DUMMYFUNCTION("""COMPUTED_VALUE"""),"II
 09:45-11:15")</f>
        <v>II
 09:45-11:15</v>
      </c>
      <c r="L55" s="140"/>
    </row>
    <row r="56" spans="1:12" ht="33.6" x14ac:dyDescent="0.25">
      <c r="A56" s="76"/>
      <c r="B56" s="144"/>
      <c r="C56" s="47" t="str">
        <f ca="1">IFERROR(__xludf.DUMMYFUNCTION("""COMPUTED_VALUE"""),"III
 11:30-13:00")</f>
        <v>III
 11:30-13:00</v>
      </c>
      <c r="D56" s="22" t="str">
        <f ca="1">IFERROR(__xludf.DUMMYFUNCTION("""COMPUTED_VALUE"""),"Teoria prob. (prel), 
V. Popa, 415/4")</f>
        <v>Teoria prob. (prel), 
V. Popa, 415/4</v>
      </c>
      <c r="E56" s="173" t="str">
        <f ca="1">IFERROR(__xludf.DUMMYFUNCTION("""COMPUTED_VALUE"""),"Mat. discr log. (sem), 
I. Cucu, 404/4")</f>
        <v>Mat. discr log. (sem), 
I. Cucu, 404/4</v>
      </c>
      <c r="F56" s="32"/>
      <c r="G56" s="32" t="str">
        <f ca="1">IFERROR(__xludf.DUMMYFUNCTION("""COMPUTED_VALUE"""),"Mat. discr log. (sem), 
I. Cucu, 404/4")</f>
        <v>Mat. discr log. (sem), 
I. Cucu, 404/4</v>
      </c>
      <c r="H56" s="49" t="str">
        <f ca="1">IFERROR(__xludf.DUMMYFUNCTION("""COMPUTED_VALUE"""),"L. str. (sem), 
G. Ciudin, 213a/4")</f>
        <v>L. str. (sem), 
G. Ciudin, 213a/4</v>
      </c>
      <c r="I56" s="32" t="str">
        <f ca="1">IFERROR(__xludf.DUMMYFUNCTION("""COMPUTED_VALUE"""),"Met. stat. date (prel), 
V. Trebiș, 401/4")</f>
        <v>Met. stat. date (prel), 
V. Trebiș, 401/4</v>
      </c>
      <c r="J56" s="24"/>
      <c r="K56" s="47" t="str">
        <f ca="1">IFERROR(__xludf.DUMMYFUNCTION("""COMPUTED_VALUE"""),"III
 11:30-13:00")</f>
        <v>III
 11:30-13:00</v>
      </c>
      <c r="L56" s="140"/>
    </row>
    <row r="57" spans="1:12" ht="33.6" x14ac:dyDescent="0.25">
      <c r="A57" s="76"/>
      <c r="B57" s="144"/>
      <c r="C57" s="47" t="str">
        <f ca="1">IFERROR(__xludf.DUMMYFUNCTION("""COMPUTED_VALUE"""),"IV
 13:15-14:45")</f>
        <v>IV
 13:15-14:45</v>
      </c>
      <c r="D57" s="25" t="str">
        <f ca="1">IFERROR(__xludf.DUMMYFUNCTION("""COMPUTED_VALUE"""),"Teoria prob. (prel), 
V. Popa, 415/4")</f>
        <v>Teoria prob. (prel), 
V. Popa, 415/4</v>
      </c>
      <c r="E57" s="173" t="str">
        <f ca="1">IFERROR(__xludf.DUMMYFUNCTION("""COMPUTED_VALUE"""),"Mat. discr log. (sem), 
I. Cucu, 404/4")</f>
        <v>Mat. discr log. (sem), 
I. Cucu, 404/4</v>
      </c>
      <c r="F57" s="32"/>
      <c r="G57" s="32" t="str">
        <f ca="1">IFERROR(__xludf.DUMMYFUNCTION("""COMPUTED_VALUE"""),"Mat. discr log. (sem), 
I. Cucu, 404/4")</f>
        <v>Mat. discr log. (sem), 
I. Cucu, 404/4</v>
      </c>
      <c r="H57" s="24" t="str">
        <f ca="1">IFERROR(__xludf.DUMMYFUNCTION("""COMPUTED_VALUE"""),"L. str. (sem), 
G. Ciudin, 213a/4")</f>
        <v>L. str. (sem), 
G. Ciudin, 213a/4</v>
      </c>
      <c r="I57" s="32" t="str">
        <f ca="1">IFERROR(__xludf.DUMMYFUNCTION("""COMPUTED_VALUE"""),"II: Met. stat. date (lab), 
V. Trebiș, 350/4")</f>
        <v>II: Met. stat. date (lab), 
V. Trebiș, 350/4</v>
      </c>
      <c r="J57" s="47"/>
      <c r="K57" s="47" t="str">
        <f ca="1">IFERROR(__xludf.DUMMYFUNCTION("""COMPUTED_VALUE"""),"IV
 13:15-14:45")</f>
        <v>IV
 13:15-14:45</v>
      </c>
      <c r="L57" s="140"/>
    </row>
    <row r="58" spans="1:12" ht="33.6" x14ac:dyDescent="0.25">
      <c r="A58" s="76"/>
      <c r="B58" s="144"/>
      <c r="C58" s="47" t="str">
        <f ca="1">IFERROR(__xludf.DUMMYFUNCTION("""COMPUTED_VALUE""")," V
15:00-16:30")</f>
        <v xml:space="preserve"> V
15:00-16:30</v>
      </c>
      <c r="D58" s="25" t="str">
        <f ca="1">IFERROR(__xludf.DUMMYFUNCTION("""COMPUTED_VALUE"""),"Analiza funct. (prel), 
V. Popa, 415/4")</f>
        <v>Analiza funct. (prel), 
V. Popa, 415/4</v>
      </c>
      <c r="E58" s="174"/>
      <c r="F58" s="32"/>
      <c r="G58" s="32"/>
      <c r="H58" s="24"/>
      <c r="I58" s="2"/>
      <c r="J58" s="47"/>
      <c r="K58" s="47" t="str">
        <f ca="1">IFERROR(__xludf.DUMMYFUNCTION("""COMPUTED_VALUE""")," V
15:00-16:30")</f>
        <v xml:space="preserve"> V
15:00-16:30</v>
      </c>
      <c r="L58" s="140"/>
    </row>
    <row r="59" spans="1:12" ht="33.6" x14ac:dyDescent="0.25">
      <c r="A59" s="76"/>
      <c r="B59" s="145"/>
      <c r="C59" s="48" t="str">
        <f ca="1">IFERROR(__xludf.DUMMYFUNCTION("""COMPUTED_VALUE"""),"VI
 16:45-18:15")</f>
        <v>VI
 16:45-18:15</v>
      </c>
      <c r="D59" s="27" t="str">
        <f ca="1">IFERROR(__xludf.DUMMYFUNCTION("""COMPUTED_VALUE"""),"Analiza funct. (prel), 
V. Popa, 415/4")</f>
        <v>Analiza funct. (prel), 
V. Popa, 415/4</v>
      </c>
      <c r="E59" s="175"/>
      <c r="F59" s="28"/>
      <c r="G59" s="28"/>
      <c r="H59" s="89"/>
      <c r="I59" s="28"/>
      <c r="J59" s="89"/>
      <c r="K59" s="48" t="str">
        <f ca="1">IFERROR(__xludf.DUMMYFUNCTION("""COMPUTED_VALUE"""),"VI
 16:45-18:15")</f>
        <v>VI
 16:45-18:15</v>
      </c>
      <c r="L59" s="141"/>
    </row>
    <row r="60" spans="1:12" ht="16.8" x14ac:dyDescent="0.25">
      <c r="A60" s="76"/>
      <c r="B60" s="143" t="str">
        <f ca="1">IFERROR(__xludf.DUMMYFUNCTION("""COMPUTED_VALUE"""),"Duminică,
04.10.2026")</f>
        <v>Duminică,
04.10.2026</v>
      </c>
      <c r="C60" s="43" t="str">
        <f ca="1">IFERROR(__xludf.DUMMYFUNCTION("""COMPUTED_VALUE"""),"I
 08:00-9:30")</f>
        <v>I
 08:00-9:30</v>
      </c>
      <c r="D60" s="44"/>
      <c r="E60" s="182"/>
      <c r="F60" s="80"/>
      <c r="G60" s="80"/>
      <c r="H60" s="81" t="str">
        <f ca="1">IFERROR(__xludf.DUMMYFUNCTION("""COMPUTED_VALUE"""),"II: Tehn. de progr. (lab), 
I. Anghelova, 145a/4")</f>
        <v>II: Tehn. de progr. (lab), 
I. Anghelova, 145a/4</v>
      </c>
      <c r="I60" s="80" t="str">
        <f ca="1">IFERROR(__xludf.DUMMYFUNCTION("""COMPUTED_VALUE"""),"Sec. retelelor (prel), 
I. Tican, 145/4")</f>
        <v>Sec. retelelor (prel), 
I. Tican, 145/4</v>
      </c>
      <c r="J60" s="81"/>
      <c r="K60" s="43" t="str">
        <f ca="1">IFERROR(__xludf.DUMMYFUNCTION("""COMPUTED_VALUE"""),"I
 08:00-9:30")</f>
        <v>I
 08:00-9:30</v>
      </c>
      <c r="L60" s="139" t="str">
        <f ca="1">IFERROR(__xludf.DUMMYFUNCTION("""COMPUTED_VALUE"""),"Duminică,
04.10.2026")</f>
        <v>Duminică,
04.10.2026</v>
      </c>
    </row>
    <row r="61" spans="1:12" ht="33.6" x14ac:dyDescent="0.25">
      <c r="A61" s="76"/>
      <c r="B61" s="144"/>
      <c r="C61" s="47" t="str">
        <f ca="1">IFERROR(__xludf.DUMMYFUNCTION("""COMPUTED_VALUE"""),"II
 09:45-11:15")</f>
        <v>II
 09:45-11:15</v>
      </c>
      <c r="D61" s="90"/>
      <c r="E61" s="183"/>
      <c r="F61" s="22"/>
      <c r="G61" s="32"/>
      <c r="H61" s="49" t="str">
        <f ca="1">IFERROR(__xludf.DUMMYFUNCTION("""COMPUTED_VALUE"""),"II: Tehn. de progr. (lab), 
I. Anghelova, 145a/4")</f>
        <v>II: Tehn. de progr. (lab), 
I. Anghelova, 145a/4</v>
      </c>
      <c r="I61" s="25" t="str">
        <f ca="1">IFERROR(__xludf.DUMMYFUNCTION("""COMPUTED_VALUE"""),"Sec. retelelor (lab), 
I. Tican, 145/4")</f>
        <v>Sec. retelelor (lab), 
I. Tican, 145/4</v>
      </c>
      <c r="J61" s="49"/>
      <c r="K61" s="47" t="str">
        <f ca="1">IFERROR(__xludf.DUMMYFUNCTION("""COMPUTED_VALUE"""),"II
 09:45-11:15")</f>
        <v>II
 09:45-11:15</v>
      </c>
      <c r="L61" s="140"/>
    </row>
    <row r="62" spans="1:12" ht="50.4" x14ac:dyDescent="0.25">
      <c r="A62" s="76"/>
      <c r="B62" s="144"/>
      <c r="C62" s="47" t="str">
        <f ca="1">IFERROR(__xludf.DUMMYFUNCTION("""COMPUTED_VALUE"""),"III
 11:30-13:00")</f>
        <v>III
 11:30-13:00</v>
      </c>
      <c r="D62" s="90"/>
      <c r="E62" s="183"/>
      <c r="F62" s="22"/>
      <c r="G62" s="32"/>
      <c r="H62" s="24" t="str">
        <f ca="1">IFERROR(__xludf.DUMMYFUNCTION("""COMPUTED_VALUE""")," I: Tehn. de progr. (lab), 
I. Anghelova, 145a/4")</f>
        <v xml:space="preserve"> I: Tehn. de progr. (lab), 
I. Anghelova, 145a/4</v>
      </c>
      <c r="I62" s="25" t="str">
        <f ca="1">IFERROR(__xludf.DUMMYFUNCTION("""COMPUTED_VALUE"""),"Sec. aplic. web (prel), 
I. Tican, 145/4")</f>
        <v>Sec. aplic. web (prel), 
I. Tican, 145/4</v>
      </c>
      <c r="J62" s="49"/>
      <c r="K62" s="47" t="str">
        <f ca="1">IFERROR(__xludf.DUMMYFUNCTION("""COMPUTED_VALUE"""),"III
 11:30-13:00")</f>
        <v>III
 11:30-13:00</v>
      </c>
      <c r="L62" s="140"/>
    </row>
    <row r="63" spans="1:12" ht="16.8" x14ac:dyDescent="0.25">
      <c r="A63" s="76"/>
      <c r="B63" s="144"/>
      <c r="C63" s="47" t="str">
        <f ca="1">IFERROR(__xludf.DUMMYFUNCTION("""COMPUTED_VALUE"""),"IV
 13:15-14:45")</f>
        <v>IV
 13:15-14:45</v>
      </c>
      <c r="D63" s="90"/>
      <c r="E63" s="183"/>
      <c r="F63" s="91"/>
      <c r="G63" s="22"/>
      <c r="H63" s="47" t="str">
        <f ca="1">IFERROR(__xludf.DUMMYFUNCTION("""COMPUTED_VALUE""")," I: Tehn. de progr. (lab), 
I. Anghelova, 145a/4")</f>
        <v xml:space="preserve"> I: Tehn. de progr. (lab), 
I. Anghelova, 145a/4</v>
      </c>
      <c r="I63" s="32" t="str">
        <f ca="1">IFERROR(__xludf.DUMMYFUNCTION("""COMPUTED_VALUE"""),"Sec. aplic. web (lab), 
I. Tican, 145/4")</f>
        <v>Sec. aplic. web (lab), 
I. Tican, 145/4</v>
      </c>
      <c r="J63" s="92"/>
      <c r="K63" s="47" t="str">
        <f ca="1">IFERROR(__xludf.DUMMYFUNCTION("""COMPUTED_VALUE"""),"IV
 13:15-14:45")</f>
        <v>IV
 13:15-14:45</v>
      </c>
      <c r="L63" s="140"/>
    </row>
    <row r="64" spans="1:12" ht="16.8" x14ac:dyDescent="0.25">
      <c r="A64" s="76"/>
      <c r="B64" s="144"/>
      <c r="C64" s="47" t="str">
        <f ca="1">IFERROR(__xludf.DUMMYFUNCTION("""COMPUTED_VALUE""")," V
15:00-16:30")</f>
        <v xml:space="preserve"> V
15:00-16:30</v>
      </c>
      <c r="D64" s="2"/>
      <c r="E64" s="184"/>
      <c r="F64" s="93"/>
      <c r="G64" s="33"/>
      <c r="H64" s="92"/>
      <c r="I64" s="91"/>
      <c r="J64" s="92"/>
      <c r="K64" s="47" t="str">
        <f ca="1">IFERROR(__xludf.DUMMYFUNCTION("""COMPUTED_VALUE""")," V
15:00-16:30")</f>
        <v xml:space="preserve"> V
15:00-16:30</v>
      </c>
      <c r="L64" s="140"/>
    </row>
    <row r="65" spans="1:12" ht="50.4" x14ac:dyDescent="0.25">
      <c r="A65" s="76"/>
      <c r="B65" s="145"/>
      <c r="C65" s="94" t="str">
        <f ca="1">IFERROR(__xludf.DUMMYFUNCTION("""COMPUTED_VALUE"""),"VI
 16:45-18:15")</f>
        <v>VI
 16:45-18:15</v>
      </c>
      <c r="D65" s="84"/>
      <c r="E65" s="185"/>
      <c r="F65" s="95"/>
      <c r="G65" s="96"/>
      <c r="H65" s="48"/>
      <c r="I65" s="28"/>
      <c r="J65" s="48"/>
      <c r="K65" s="94" t="str">
        <f ca="1">IFERROR(__xludf.DUMMYFUNCTION("""COMPUTED_VALUE"""),"VI
 16:45-18:15")</f>
        <v>VI
 16:45-18:15</v>
      </c>
      <c r="L65" s="141"/>
    </row>
    <row r="66" spans="1:12" ht="9" customHeight="1" collapsed="1" x14ac:dyDescent="0.25">
      <c r="A66" s="4"/>
      <c r="B66" s="4"/>
      <c r="C66" s="67"/>
      <c r="D66" s="68"/>
      <c r="E66" s="180"/>
      <c r="F66" s="67"/>
      <c r="G66" s="67"/>
      <c r="H66" s="67"/>
      <c r="I66" s="67"/>
      <c r="J66" s="67"/>
      <c r="K66" s="67"/>
      <c r="L66" s="4"/>
    </row>
    <row r="67" spans="1:12" ht="16.8" hidden="1" outlineLevel="1" x14ac:dyDescent="0.25">
      <c r="A67" s="4"/>
      <c r="B67" s="151"/>
      <c r="C67" s="152"/>
      <c r="D67" s="69"/>
      <c r="E67" s="155"/>
      <c r="F67" s="161"/>
      <c r="G67" s="161"/>
      <c r="H67" s="162"/>
      <c r="I67" s="155"/>
      <c r="J67" s="157"/>
      <c r="K67" s="2"/>
      <c r="L67" s="70"/>
    </row>
    <row r="68" spans="1:12" ht="16.8" hidden="1" outlineLevel="1" x14ac:dyDescent="0.3">
      <c r="A68" s="4"/>
      <c r="B68" s="159"/>
      <c r="C68" s="160"/>
      <c r="D68" s="71"/>
      <c r="E68" s="181"/>
      <c r="F68" s="73"/>
      <c r="G68" s="97"/>
      <c r="H68" s="74"/>
      <c r="I68" s="72"/>
      <c r="J68" s="74"/>
      <c r="K68" s="2"/>
      <c r="L68" s="75"/>
    </row>
    <row r="69" spans="1:12" ht="16.8" x14ac:dyDescent="0.25">
      <c r="A69" s="76"/>
      <c r="B69" s="143" t="str">
        <f ca="1">IFERROR(__xludf.DUMMYFUNCTION("""COMPUTED_VALUE"""),"Luni,
05.10.2026")</f>
        <v>Luni,
05.10.2026</v>
      </c>
      <c r="C69" s="98" t="str">
        <f ca="1">IFERROR(__xludf.DUMMYFUNCTION("""COMPUTED_VALUE""")," I
15:00-16:30")</f>
        <v xml:space="preserve"> I
15:00-16:30</v>
      </c>
      <c r="D69" s="18"/>
      <c r="E69" s="186" t="str">
        <f ca="1">IFERROR(__xludf.DUMMYFUNCTION("""COMPUTED_VALUE"""),"BD (lab), 
D. Semeniuc, 145a/4")</f>
        <v>BD (lab), 
D. Semeniuc, 145a/4</v>
      </c>
      <c r="F69" s="99"/>
      <c r="G69" s="99" t="str">
        <f ca="1">IFERROR(__xludf.DUMMYFUNCTION("""COMPUTED_VALUE"""),"BD (lab), 
D. Semeniuc, 145a/4")</f>
        <v>BD (lab), 
D. Semeniuc, 145a/4</v>
      </c>
      <c r="H69" s="100" t="str">
        <f ca="1">IFERROR(__xludf.DUMMYFUNCTION("""COMPUTED_VALUE""")," I: Mat. discr log. (sem), 
I. Cucu, 317/4")</f>
        <v xml:space="preserve"> I: Mat. discr log. (sem), 
I. Cucu, 317/4</v>
      </c>
      <c r="I69" s="101" t="str">
        <f ca="1">IFERROR(__xludf.DUMMYFUNCTION("""COMPUTED_VALUE"""),"Testare soft (prel), 
N. Lupu, 122/4")</f>
        <v>Testare soft (prel), 
N. Lupu, 122/4</v>
      </c>
      <c r="J69" s="77"/>
      <c r="K69" s="98" t="str">
        <f ca="1">IFERROR(__xludf.DUMMYFUNCTION("""COMPUTED_VALUE""")," I
15:00-16:30")</f>
        <v xml:space="preserve"> I
15:00-16:30</v>
      </c>
      <c r="L69" s="139" t="str">
        <f ca="1">IFERROR(__xludf.DUMMYFUNCTION("""COMPUTED_VALUE"""),"Luni,
05.10.2026")</f>
        <v>Luni,
05.10.2026</v>
      </c>
    </row>
    <row r="70" spans="1:12" ht="100.8" x14ac:dyDescent="0.25">
      <c r="A70" s="76"/>
      <c r="B70" s="144"/>
      <c r="C70" s="47" t="str">
        <f ca="1">IFERROR(__xludf.DUMMYFUNCTION("""COMPUTED_VALUE""")," II
16:45-18:15")</f>
        <v xml:space="preserve"> II
16:45-18:15</v>
      </c>
      <c r="D70" s="22"/>
      <c r="E70" s="187" t="str">
        <f ca="1">IFERROR(__xludf.DUMMYFUNCTION("""COMPUTED_VALUE"""),"Tehn. de progr. (prel), 
N. Lupu, 401/4")</f>
        <v>Tehn. de progr. (prel), 
N. Lupu, 401/4</v>
      </c>
      <c r="F70" s="91" t="str">
        <f ca="1">IFERROR(__xludf.DUMMYFUNCTION("""COMPUTED_VALUE"""),"Tehn. de progr. (prel), 
N. Lupu, 401/4")</f>
        <v>Tehn. de progr. (prel), 
N. Lupu, 401/4</v>
      </c>
      <c r="G70" s="37" t="str">
        <f ca="1">IFERROR(__xludf.DUMMYFUNCTION("""COMPUTED_VALUE"""),"Tehn. de progr. (prel), 
D. Semeniuc, 214/4")</f>
        <v>Tehn. de progr. (prel), 
D. Semeniuc, 214/4</v>
      </c>
      <c r="H70" s="102" t="str">
        <f ca="1">IFERROR(__xludf.DUMMYFUNCTION("""COMPUTED_VALUE""")," I: Mat. discr graf. (lab), 
C. Țurcanu, 143/4
II: Mat. discr log. (sem), 
I. Cucu, 317/4")</f>
        <v xml:space="preserve"> I: Mat. discr graf. (lab), 
C. Țurcanu, 143/4
II: Mat. discr log. (sem), 
I. Cucu, 317/4</v>
      </c>
      <c r="I70" s="80" t="str">
        <f ca="1">IFERROR(__xludf.DUMMYFUNCTION("""COMPUTED_VALUE"""),"Fotogr. scan. 3D (prel), 
M. Corjan, 404/4")</f>
        <v>Fotogr. scan. 3D (prel), 
M. Corjan, 404/4</v>
      </c>
      <c r="J70" s="49"/>
      <c r="K70" s="47" t="str">
        <f ca="1">IFERROR(__xludf.DUMMYFUNCTION("""COMPUTED_VALUE""")," II
16:45-18:15")</f>
        <v xml:space="preserve"> II
16:45-18:15</v>
      </c>
      <c r="L70" s="140"/>
    </row>
    <row r="71" spans="1:12" ht="100.8" x14ac:dyDescent="0.25">
      <c r="A71" s="76"/>
      <c r="B71" s="145"/>
      <c r="C71" s="48" t="str">
        <f ca="1">IFERROR(__xludf.DUMMYFUNCTION("""COMPUTED_VALUE"""),"III
18:30-20:00")</f>
        <v>III
18:30-20:00</v>
      </c>
      <c r="D71" s="84"/>
      <c r="E71" s="188" t="str">
        <f ca="1">IFERROR(__xludf.DUMMYFUNCTION("""COMPUTED_VALUE"""),"Tehn. de progr. (prel), 
N. Lupu, 401/4")</f>
        <v>Tehn. de progr. (prel), 
N. Lupu, 401/4</v>
      </c>
      <c r="F71" s="96" t="str">
        <f ca="1">IFERROR(__xludf.DUMMYFUNCTION("""COMPUTED_VALUE"""),"Tehn. de progr. (prel), 
N. Lupu, 401/4")</f>
        <v>Tehn. de progr. (prel), 
N. Lupu, 401/4</v>
      </c>
      <c r="G71" s="96" t="str">
        <f ca="1">IFERROR(__xludf.DUMMYFUNCTION("""COMPUTED_VALUE"""),"Tehn. de progr. (prel), 
D. Semeniuc, 214/4")</f>
        <v>Tehn. de progr. (prel), 
D. Semeniuc, 214/4</v>
      </c>
      <c r="H71" s="54" t="str">
        <f ca="1">IFERROR(__xludf.DUMMYFUNCTION("""COMPUTED_VALUE""")," I: Mat. discr graf. (lab), 
C. Țurcanu, 143/4
II: Mat. discr log. (sem), 
I. Cucu, 415/4")</f>
        <v xml:space="preserve"> I: Mat. discr graf. (lab), 
C. Țurcanu, 143/4
II: Mat. discr log. (sem), 
I. Cucu, 415/4</v>
      </c>
      <c r="I71" s="65" t="str">
        <f ca="1">IFERROR(__xludf.DUMMYFUNCTION("""COMPUTED_VALUE"""),"Fotogr. scan. 3D (lab), 
M. Corjan, 326/4")</f>
        <v>Fotogr. scan. 3D (lab), 
M. Corjan, 326/4</v>
      </c>
      <c r="J71" s="54"/>
      <c r="K71" s="48" t="str">
        <f ca="1">IFERROR(__xludf.DUMMYFUNCTION("""COMPUTED_VALUE"""),"III
18:30-20:00")</f>
        <v>III
18:30-20:00</v>
      </c>
      <c r="L71" s="141"/>
    </row>
    <row r="72" spans="1:12" ht="38.25" customHeight="1" x14ac:dyDescent="0.25">
      <c r="A72" s="76"/>
      <c r="B72" s="143" t="str">
        <f ca="1">IFERROR(__xludf.DUMMYFUNCTION("""COMPUTED_VALUE"""),"Marți,
06.10.2026")</f>
        <v>Marți,
06.10.2026</v>
      </c>
      <c r="C72" s="43" t="str">
        <f ca="1">IFERROR(__xludf.DUMMYFUNCTION("""COMPUTED_VALUE"""),"13:15-14:45")</f>
        <v>13:15-14:45</v>
      </c>
      <c r="D72" s="17"/>
      <c r="E72" s="189"/>
      <c r="F72" s="99"/>
      <c r="G72" s="103"/>
      <c r="H72" s="104"/>
      <c r="I72" s="105"/>
      <c r="J72" s="77"/>
      <c r="K72" s="82" t="str">
        <f ca="1">IFERROR(__xludf.DUMMYFUNCTION("""COMPUTED_VALUE"""),"13:15-14:45")</f>
        <v>13:15-14:45</v>
      </c>
      <c r="L72" s="139" t="str">
        <f ca="1">IFERROR(__xludf.DUMMYFUNCTION("""COMPUTED_VALUE"""),"Marți,
06.10.2026")</f>
        <v>Marți,
06.10.2026</v>
      </c>
    </row>
    <row r="73" spans="1:12" ht="100.8" x14ac:dyDescent="0.25">
      <c r="A73" s="76"/>
      <c r="B73" s="144"/>
      <c r="C73" s="43" t="str">
        <f ca="1">IFERROR(__xludf.DUMMYFUNCTION("""COMPUTED_VALUE""")," I
15:00-16:30")</f>
        <v xml:space="preserve"> I
15:00-16:30</v>
      </c>
      <c r="D73" s="22" t="str">
        <f ca="1">IFERROR(__xludf.DUMMYFUNCTION("""COMPUTED_VALUE"""),"Analiza funct. (sem), 
V. Popa, 419/4
Teoria prob. (sem), 
V. Popa, 419/4")</f>
        <v>Analiza funct. (sem), 
V. Popa, 419/4
Teoria prob. (sem), 
V. Popa, 419/4</v>
      </c>
      <c r="E73" s="187" t="str">
        <f ca="1">IFERROR(__xludf.DUMMYFUNCTION("""COMPUTED_VALUE"""),"BD (lab), 
D. Semeniuc, 145/4")</f>
        <v>BD (lab), 
D. Semeniuc, 145/4</v>
      </c>
      <c r="F73" s="91"/>
      <c r="G73" s="37" t="str">
        <f ca="1">IFERROR(__xludf.DUMMYFUNCTION("""COMPUTED_VALUE"""),"BD (lab), 
D. Semeniuc, 145/4")</f>
        <v>BD (lab), 
D. Semeniuc, 145/4</v>
      </c>
      <c r="H73" s="45" t="str">
        <f ca="1">IFERROR(__xludf.DUMMYFUNCTION("""COMPUTED_VALUE"""),"II: Mat. discr graf. (lab), 
C. Țurcanu, 216a/4a
 I: Mat. discr log. (sem), 
I. Cucu, 222/4")</f>
        <v>II: Mat. discr graf. (lab), 
C. Țurcanu, 216a/4a
 I: Mat. discr log. (sem), 
I. Cucu, 222/4</v>
      </c>
      <c r="I73" s="25"/>
      <c r="J73" s="49"/>
      <c r="K73" s="43" t="str">
        <f ca="1">IFERROR(__xludf.DUMMYFUNCTION("""COMPUTED_VALUE""")," I
15:00-16:30")</f>
        <v xml:space="preserve"> I
15:00-16:30</v>
      </c>
      <c r="L73" s="140"/>
    </row>
    <row r="74" spans="1:12" ht="50.4" x14ac:dyDescent="0.25">
      <c r="A74" s="76"/>
      <c r="B74" s="144"/>
      <c r="C74" s="47" t="str">
        <f ca="1">IFERROR(__xludf.DUMMYFUNCTION("""COMPUTED_VALUE"""),"II
16:45-18:15")</f>
        <v>II
16:45-18:15</v>
      </c>
      <c r="D74" s="31" t="str">
        <f ca="1">IFERROR(__xludf.DUMMYFUNCTION("""COMPUTED_VALUE"""),"Fund. program. (prel), 
N. Nartea, 415/4")</f>
        <v>Fund. program. (prel), 
N. Nartea, 415/4</v>
      </c>
      <c r="E74" s="173" t="str">
        <f ca="1">IFERROR(__xludf.DUMMYFUNCTION("""COMPUTED_VALUE"""),"Mat. discr log. (prel), 
I. Cucu, 404/4")</f>
        <v>Mat. discr log. (prel), 
I. Cucu, 404/4</v>
      </c>
      <c r="F74" s="32" t="str">
        <f ca="1">IFERROR(__xludf.DUMMYFUNCTION("""COMPUTED_VALUE"""),"Mat. discr log. (prel), 
I. Cucu, 404/4")</f>
        <v>Mat. discr log. (prel), 
I. Cucu, 404/4</v>
      </c>
      <c r="G74" s="32" t="str">
        <f ca="1">IFERROR(__xludf.DUMMYFUNCTION("""COMPUTED_VALUE"""),"Mat. discr log. (prel), 
I. Cucu, 404/4")</f>
        <v>Mat. discr log. (prel), 
I. Cucu, 404/4</v>
      </c>
      <c r="H74" s="45" t="str">
        <f ca="1">IFERROR(__xludf.DUMMYFUNCTION("""COMPUTED_VALUE"""),"II: Mat. discr graf. (lab), 
C. Țurcanu, 216a/4a")</f>
        <v>II: Mat. discr graf. (lab), 
C. Țurcanu, 216a/4a</v>
      </c>
      <c r="I74" s="25" t="str">
        <f ca="1">IFERROR(__xludf.DUMMYFUNCTION("""COMPUTED_VALUE"""),"Fotogr. scan. 3D (prel), 
M. Corjan, 222/4")</f>
        <v>Fotogr. scan. 3D (prel), 
M. Corjan, 222/4</v>
      </c>
      <c r="J74" s="24"/>
      <c r="K74" s="47" t="str">
        <f ca="1">IFERROR(__xludf.DUMMYFUNCTION("""COMPUTED_VALUE"""),"II
16:45-18:15")</f>
        <v>II
16:45-18:15</v>
      </c>
      <c r="L74" s="140"/>
    </row>
    <row r="75" spans="1:12" ht="33.6" x14ac:dyDescent="0.25">
      <c r="A75" s="76"/>
      <c r="B75" s="145"/>
      <c r="C75" s="48" t="str">
        <f ca="1">IFERROR(__xludf.DUMMYFUNCTION("""COMPUTED_VALUE""")," III
18:30-20:00")</f>
        <v xml:space="preserve"> III
18:30-20:00</v>
      </c>
      <c r="D75" s="27" t="str">
        <f ca="1">IFERROR(__xludf.DUMMYFUNCTION("""COMPUTED_VALUE"""),"Fund. program. (prel), 
N. Nartea, 415/4")</f>
        <v>Fund. program. (prel), 
N. Nartea, 415/4</v>
      </c>
      <c r="E75" s="171" t="str">
        <f ca="1">IFERROR(__xludf.DUMMYFUNCTION("""COMPUTED_VALUE"""),"Mat. discr log. (prel), 
I. Cucu, 404/4")</f>
        <v>Mat. discr log. (prel), 
I. Cucu, 404/4</v>
      </c>
      <c r="F75" s="28" t="str">
        <f ca="1">IFERROR(__xludf.DUMMYFUNCTION("""COMPUTED_VALUE"""),"Mat. discr log. (prel), 
I. Cucu, 404/4")</f>
        <v>Mat. discr log. (prel), 
I. Cucu, 404/4</v>
      </c>
      <c r="G75" s="28" t="str">
        <f ca="1">IFERROR(__xludf.DUMMYFUNCTION("""COMPUTED_VALUE"""),"Mat. discr log. (prel), 
I. Cucu, 404/4")</f>
        <v>Mat. discr log. (prel), 
I. Cucu, 404/4</v>
      </c>
      <c r="H75" s="54"/>
      <c r="I75" s="27" t="str">
        <f ca="1">IFERROR(__xludf.DUMMYFUNCTION("""COMPUTED_VALUE"""),"Fotogr. scan. 3D (lab), 
M. Corjan, 145a/4")</f>
        <v>Fotogr. scan. 3D (lab), 
M. Corjan, 145a/4</v>
      </c>
      <c r="J75" s="54" t="str">
        <f ca="1">IFERROR(__xludf.DUMMYFUNCTION("""COMPUTED_VALUE"""),"Sec. aplic. web (prel), 
V. Vișnevschi, 222/4")</f>
        <v>Sec. aplic. web (prel), 
V. Vișnevschi, 222/4</v>
      </c>
      <c r="K75" s="48" t="str">
        <f ca="1">IFERROR(__xludf.DUMMYFUNCTION("""COMPUTED_VALUE""")," III
18:30-20:00")</f>
        <v xml:space="preserve"> III
18:30-20:00</v>
      </c>
      <c r="L75" s="141"/>
    </row>
    <row r="76" spans="1:12" ht="16.8" x14ac:dyDescent="0.25">
      <c r="A76" s="76"/>
      <c r="B76" s="143" t="str">
        <f ca="1">IFERROR(__xludf.DUMMYFUNCTION("""COMPUTED_VALUE"""),"Miercuri,
07.10.2026")</f>
        <v>Miercuri,
07.10.2026</v>
      </c>
      <c r="C76" s="82" t="str">
        <f ca="1">IFERROR(__xludf.DUMMYFUNCTION("""COMPUTED_VALUE""")," I
15:00-16:30")</f>
        <v xml:space="preserve"> I
15:00-16:30</v>
      </c>
      <c r="D76" s="44"/>
      <c r="E76" s="190" t="str">
        <f ca="1">IFERROR(__xludf.DUMMYFUNCTION("""COMPUTED_VALUE"""),"Mat. discr graf. (lab), 
C. Țurcanu, 251/4")</f>
        <v>Mat. discr graf. (lab), 
C. Țurcanu, 251/4</v>
      </c>
      <c r="F76" s="32" t="str">
        <f ca="1">IFERROR(__xludf.DUMMYFUNCTION("""COMPUTED_VALUE"""),"BD (lab), 
D. Semeniuc, 145a/4")</f>
        <v>BD (lab), 
D. Semeniuc, 145a/4</v>
      </c>
      <c r="G76" s="106" t="str">
        <f ca="1">IFERROR(__xludf.DUMMYFUNCTION("""COMPUTED_VALUE"""),"Mat. discr graf. (lab), 
C. Țurcanu, 251/4")</f>
        <v>Mat. discr graf. (lab), 
C. Țurcanu, 251/4</v>
      </c>
      <c r="H76" s="83" t="str">
        <f ca="1">IFERROR(__xludf.DUMMYFUNCTION("""COMPUTED_VALUE""")," I: Mat. discr log. (sem), 
I. Cucu, 239/4")</f>
        <v xml:space="preserve"> I: Mat. discr log. (sem), 
I. Cucu, 239/4</v>
      </c>
      <c r="I76" s="25"/>
      <c r="J76" s="24"/>
      <c r="K76" s="82" t="str">
        <f ca="1">IFERROR(__xludf.DUMMYFUNCTION("""COMPUTED_VALUE""")," I
15:00-16:30")</f>
        <v xml:space="preserve"> I
15:00-16:30</v>
      </c>
      <c r="L76" s="139" t="str">
        <f ca="1">IFERROR(__xludf.DUMMYFUNCTION("""COMPUTED_VALUE"""),"Miercuri,
07.10.2026")</f>
        <v>Miercuri,
07.10.2026</v>
      </c>
    </row>
    <row r="77" spans="1:12" ht="100.8" x14ac:dyDescent="0.25">
      <c r="A77" s="76"/>
      <c r="B77" s="144"/>
      <c r="C77" s="47" t="str">
        <f ca="1">IFERROR(__xludf.DUMMYFUNCTION("""COMPUTED_VALUE""")," II
16:45-18:15")</f>
        <v xml:space="preserve"> II
16:45-18:15</v>
      </c>
      <c r="D77" s="22"/>
      <c r="E77" s="174" t="str">
        <f ca="1">IFERROR(__xludf.DUMMYFUNCTION("""COMPUTED_VALUE"""),"Tehn. de progr. (prel), 
N. Lupu, 401/4")</f>
        <v>Tehn. de progr. (prel), 
N. Lupu, 401/4</v>
      </c>
      <c r="F77" s="22" t="str">
        <f ca="1">IFERROR(__xludf.DUMMYFUNCTION("""COMPUTED_VALUE"""),"Tehn. de progr. (prel), 
N. Lupu, 401/4")</f>
        <v>Tehn. de progr. (prel), 
N. Lupu, 401/4</v>
      </c>
      <c r="G77" s="33" t="str">
        <f ca="1">IFERROR(__xludf.DUMMYFUNCTION("""COMPUTED_VALUE"""),"Tehn. de progr. (prel), 
D. Semeniuc, 222/4")</f>
        <v>Tehn. de progr. (prel), 
D. Semeniuc, 222/4</v>
      </c>
      <c r="H77" s="45" t="str">
        <f ca="1">IFERROR(__xludf.DUMMYFUNCTION("""COMPUTED_VALUE"""),"II: Mat. discr graf. (lab), 
C. Țurcanu, 251/4
 I: Mat. discr log. (sem), 
I. Cucu, 419/4")</f>
        <v>II: Mat. discr graf. (lab), 
C. Țurcanu, 251/4
 I: Mat. discr log. (sem), 
I. Cucu, 419/4</v>
      </c>
      <c r="I77" s="22"/>
      <c r="J77" s="24" t="str">
        <f ca="1">IFERROR(__xludf.DUMMYFUNCTION("""COMPUTED_VALUE"""),"Met. stat. date (lab), 
V. Trebiș, 350/4")</f>
        <v>Met. stat. date (lab), 
V. Trebiș, 350/4</v>
      </c>
      <c r="K77" s="47" t="str">
        <f ca="1">IFERROR(__xludf.DUMMYFUNCTION("""COMPUTED_VALUE""")," II
16:45-18:15")</f>
        <v xml:space="preserve"> II
16:45-18:15</v>
      </c>
      <c r="L77" s="140"/>
    </row>
    <row r="78" spans="1:12" ht="33.6" x14ac:dyDescent="0.25">
      <c r="A78" s="76"/>
      <c r="B78" s="145"/>
      <c r="C78" s="48" t="str">
        <f ca="1">IFERROR(__xludf.DUMMYFUNCTION("""COMPUTED_VALUE"""),"III
 18:30-20:00")</f>
        <v>III
 18:30-20:00</v>
      </c>
      <c r="D78" s="27"/>
      <c r="E78" s="175" t="str">
        <f ca="1">IFERROR(__xludf.DUMMYFUNCTION("""COMPUTED_VALUE"""),"Tehn. de progr. (prel), 
N. Lupu, 401/4")</f>
        <v>Tehn. de progr. (prel), 
N. Lupu, 401/4</v>
      </c>
      <c r="F78" s="27" t="str">
        <f ca="1">IFERROR(__xludf.DUMMYFUNCTION("""COMPUTED_VALUE"""),"Tehn. de progr. (prel), 
N. Lupu, 401/4")</f>
        <v>Tehn. de progr. (prel), 
N. Lupu, 401/4</v>
      </c>
      <c r="G78" s="107" t="str">
        <f ca="1">IFERROR(__xludf.DUMMYFUNCTION("""COMPUTED_VALUE"""),"Tehn. de progr. (prel), 
D. Semeniuc, 222/4")</f>
        <v>Tehn. de progr. (prel), 
D. Semeniuc, 222/4</v>
      </c>
      <c r="H78" s="41"/>
      <c r="I78" s="84" t="str">
        <f ca="1">IFERROR(__xludf.DUMMYFUNCTION("""COMPUTED_VALUE""")," I: Met. stat. date (lab), 
V. Trebiș, 350/4")</f>
        <v xml:space="preserve"> I: Met. stat. date (lab), 
V. Trebiș, 350/4</v>
      </c>
      <c r="J78" s="54" t="str">
        <f ca="1">IFERROR(__xludf.DUMMYFUNCTION("""COMPUTED_VALUE"""),"Dezv. apl. server (lab), 
V. Vișnevschi, 145/4")</f>
        <v>Dezv. apl. server (lab), 
V. Vișnevschi, 145/4</v>
      </c>
      <c r="K78" s="48" t="str">
        <f ca="1">IFERROR(__xludf.DUMMYFUNCTION("""COMPUTED_VALUE"""),"III
 18:30-20:00")</f>
        <v>III
 18:30-20:00</v>
      </c>
      <c r="L78" s="141"/>
    </row>
    <row r="79" spans="1:12" ht="16.8" x14ac:dyDescent="0.25">
      <c r="A79" s="76"/>
      <c r="B79" s="143" t="str">
        <f ca="1">IFERROR(__xludf.DUMMYFUNCTION("""COMPUTED_VALUE"""),"Joi,
08.10.2026")</f>
        <v>Joi,
08.10.2026</v>
      </c>
      <c r="C79" s="82" t="str">
        <f ca="1">IFERROR(__xludf.DUMMYFUNCTION("""COMPUTED_VALUE"""),"13:15-14:45")</f>
        <v>13:15-14:45</v>
      </c>
      <c r="D79" s="44"/>
      <c r="E79" s="182"/>
      <c r="F79" s="80"/>
      <c r="G79" s="80"/>
      <c r="H79" s="81"/>
      <c r="I79" s="44"/>
      <c r="J79" s="46"/>
      <c r="K79" s="82" t="str">
        <f ca="1">IFERROR(__xludf.DUMMYFUNCTION("""COMPUTED_VALUE"""),"13:15-14:45")</f>
        <v>13:15-14:45</v>
      </c>
      <c r="L79" s="139" t="str">
        <f ca="1">IFERROR(__xludf.DUMMYFUNCTION("""COMPUTED_VALUE"""),"Joi,
08.10.2026")</f>
        <v>Joi,
08.10.2026</v>
      </c>
    </row>
    <row r="80" spans="1:12" ht="33.6" x14ac:dyDescent="0.25">
      <c r="A80" s="76"/>
      <c r="B80" s="144"/>
      <c r="C80" s="85" t="str">
        <f ca="1">IFERROR(__xludf.DUMMYFUNCTION("""COMPUTED_VALUE""")," I
15:00-16:30")</f>
        <v xml:space="preserve"> I
15:00-16:30</v>
      </c>
      <c r="D80" s="31" t="str">
        <f ca="1">IFERROR(__xludf.DUMMYFUNCTION("""COMPUTED_VALUE"""),"Ecuații dif. (sem), 
G. Sprincean, 412/c")</f>
        <v>Ecuații dif. (sem), 
G. Sprincean, 412/c</v>
      </c>
      <c r="E80" s="173"/>
      <c r="F80" s="32" t="str">
        <f ca="1">IFERROR(__xludf.DUMMYFUNCTION("""COMPUTED_VALUE"""),"BD (lab), 
D. Semeniuc, 239/4")</f>
        <v>BD (lab), 
D. Semeniuc, 239/4</v>
      </c>
      <c r="G80" s="32"/>
      <c r="H80" s="49" t="str">
        <f ca="1">IFERROR(__xludf.DUMMYFUNCTION("""COMPUTED_VALUE""")," I: Mat. discr graf. (lab), 
C. Țurcanu, 219/4a")</f>
        <v xml:space="preserve"> I: Mat. discr graf. (lab), 
C. Țurcanu, 219/4a</v>
      </c>
      <c r="I80" s="25"/>
      <c r="J80" s="24"/>
      <c r="K80" s="85" t="str">
        <f ca="1">IFERROR(__xludf.DUMMYFUNCTION("""COMPUTED_VALUE""")," I
15:00-16:30")</f>
        <v xml:space="preserve"> I
15:00-16:30</v>
      </c>
      <c r="L80" s="140"/>
    </row>
    <row r="81" spans="1:12" ht="33.6" x14ac:dyDescent="0.25">
      <c r="A81" s="76"/>
      <c r="B81" s="144"/>
      <c r="C81" s="47" t="str">
        <f ca="1">IFERROR(__xludf.DUMMYFUNCTION("""COMPUTED_VALUE"""),"II
 16:45-18:15")</f>
        <v>II
 16:45-18:15</v>
      </c>
      <c r="D81" s="25" t="str">
        <f ca="1">IFERROR(__xludf.DUMMYFUNCTION("""COMPUTED_VALUE"""),"Ecuații dif. (prel), 
G. Sprincean, 412/c")</f>
        <v>Ecuații dif. (prel), 
G. Sprincean, 412/c</v>
      </c>
      <c r="E81" s="173"/>
      <c r="F81" s="32" t="str">
        <f ca="1">IFERROR(__xludf.DUMMYFUNCTION("""COMPUTED_VALUE"""),"Mat. discr graf. (lab), 
C. Țurcanu, 219/4a")</f>
        <v>Mat. discr graf. (lab), 
C. Țurcanu, 219/4a</v>
      </c>
      <c r="G81" s="22"/>
      <c r="H81" s="45" t="str">
        <f ca="1">IFERROR(__xludf.DUMMYFUNCTION("""COMPUTED_VALUE"""),"BD (prel), 
B. Vișnevschi, 213a/4")</f>
        <v>BD (prel), 
B. Vișnevschi, 213a/4</v>
      </c>
      <c r="I81" s="108"/>
      <c r="J81" s="24" t="str">
        <f ca="1">IFERROR(__xludf.DUMMYFUNCTION("""COMPUTED_VALUE"""),"Testare soft (lab), 
G. Marin, 239/4a")</f>
        <v>Testare soft (lab), 
G. Marin, 239/4a</v>
      </c>
      <c r="K81" s="47" t="str">
        <f ca="1">IFERROR(__xludf.DUMMYFUNCTION("""COMPUTED_VALUE"""),"II
 16:45-18:15")</f>
        <v>II
 16:45-18:15</v>
      </c>
      <c r="L81" s="140"/>
    </row>
    <row r="82" spans="1:12" ht="33.6" x14ac:dyDescent="0.25">
      <c r="A82" s="76"/>
      <c r="B82" s="145"/>
      <c r="C82" s="48" t="str">
        <f ca="1">IFERROR(__xludf.DUMMYFUNCTION("""COMPUTED_VALUE"""),"III
 18:30-20:00")</f>
        <v>III
 18:30-20:00</v>
      </c>
      <c r="D82" s="84"/>
      <c r="E82" s="171"/>
      <c r="F82" s="28" t="str">
        <f ca="1">IFERROR(__xludf.DUMMYFUNCTION("""COMPUTED_VALUE"""),"Tehn. de progr. (lab), 
N. Lupu, 350/4")</f>
        <v>Tehn. de progr. (lab), 
N. Lupu, 350/4</v>
      </c>
      <c r="G82" s="27"/>
      <c r="H82" s="41" t="str">
        <f ca="1">IFERROR(__xludf.DUMMYFUNCTION("""COMPUTED_VALUE"""),"BD (prel), 
B. Vișnevschi, 213a/4")</f>
        <v>BD (prel), 
B. Vișnevschi, 213a/4</v>
      </c>
      <c r="I82" s="27"/>
      <c r="J82" s="54" t="str">
        <f ca="1">IFERROR(__xludf.DUMMYFUNCTION("""COMPUTED_VALUE"""),"Testare soft (prel), 
G. Marin, 222/4")</f>
        <v>Testare soft (prel), 
G. Marin, 222/4</v>
      </c>
      <c r="K82" s="48" t="str">
        <f ca="1">IFERROR(__xludf.DUMMYFUNCTION("""COMPUTED_VALUE"""),"III
 18:30-20:00")</f>
        <v>III
 18:30-20:00</v>
      </c>
      <c r="L82" s="141"/>
    </row>
    <row r="83" spans="1:12" ht="33.6" x14ac:dyDescent="0.25">
      <c r="A83" s="76"/>
      <c r="B83" s="143" t="str">
        <f ca="1">IFERROR(__xludf.DUMMYFUNCTION("""COMPUTED_VALUE"""),"Vineri,
09.10.2026")</f>
        <v>Vineri,
09.10.2026</v>
      </c>
      <c r="C83" s="82" t="str">
        <f ca="1">IFERROR(__xludf.DUMMYFUNCTION("""COMPUTED_VALUE""")," I
15:00-16:30")</f>
        <v xml:space="preserve"> I
15:00-16:30</v>
      </c>
      <c r="D83" s="31" t="str">
        <f ca="1">IFERROR(__xludf.DUMMYFUNCTION("""COMPUTED_VALUE"""),"Fund. program. (lab), 
N. Nartea, 254/4")</f>
        <v>Fund. program. (lab), 
N. Nartea, 254/4</v>
      </c>
      <c r="E83" s="182"/>
      <c r="F83" s="31"/>
      <c r="G83" s="87" t="str">
        <f ca="1">IFERROR(__xludf.DUMMYFUNCTION("""COMPUTED_VALUE"""),"Tehn. de progr. (lab), 
D. Semeniuc, 216a/4a")</f>
        <v>Tehn. de progr. (lab), 
D. Semeniuc, 216a/4a</v>
      </c>
      <c r="H83" s="81" t="str">
        <f ca="1">IFERROR(__xludf.DUMMYFUNCTION("""COMPUTED_VALUE""")," I: BD (lab), 
B. Vișnevschi, 251/4")</f>
        <v xml:space="preserve"> I: BD (lab), 
B. Vișnevschi, 251/4</v>
      </c>
      <c r="I83" s="109" t="str">
        <f ca="1">IFERROR(__xludf.DUMMYFUNCTION("""COMPUTED_VALUE"""),"II: Testare soft (lab), 
N. Lupu, 218/4a")</f>
        <v>II: Testare soft (lab), 
N. Lupu, 218/4a</v>
      </c>
      <c r="J83" s="24"/>
      <c r="K83" s="82" t="str">
        <f ca="1">IFERROR(__xludf.DUMMYFUNCTION("""COMPUTED_VALUE""")," I
15:00-16:30")</f>
        <v xml:space="preserve"> I
15:00-16:30</v>
      </c>
      <c r="L83" s="139" t="str">
        <f ca="1">IFERROR(__xludf.DUMMYFUNCTION("""COMPUTED_VALUE"""),"Vineri,
09.10.2026")</f>
        <v>Vineri,
09.10.2026</v>
      </c>
    </row>
    <row r="84" spans="1:12" ht="50.4" x14ac:dyDescent="0.25">
      <c r="A84" s="76"/>
      <c r="B84" s="144"/>
      <c r="C84" s="47" t="str">
        <f ca="1">IFERROR(__xludf.DUMMYFUNCTION("""COMPUTED_VALUE"""),"II
 16:45-18:15")</f>
        <v>II
 16:45-18:15</v>
      </c>
      <c r="D84" s="22"/>
      <c r="E84" s="174" t="str">
        <f ca="1">IFERROR(__xludf.DUMMYFUNCTION("""COMPUTED_VALUE"""),"Etica prof și acad (prel), 
D. Semeniuc, 213a/4")</f>
        <v>Etica prof și acad (prel), 
D. Semeniuc, 213a/4</v>
      </c>
      <c r="F84" s="22" t="str">
        <f ca="1">IFERROR(__xludf.DUMMYFUNCTION("""COMPUTED_VALUE"""),"Etica prof și acad (prel), 
D. Semeniuc, 213a/4")</f>
        <v>Etica prof și acad (prel), 
D. Semeniuc, 213a/4</v>
      </c>
      <c r="G84" s="22" t="str">
        <f ca="1">IFERROR(__xludf.DUMMYFUNCTION("""COMPUTED_VALUE"""),"Etica prof și acad (prel), 
D. Semeniuc, 213a/4")</f>
        <v>Etica prof și acad (prel), 
D. Semeniuc, 213a/4</v>
      </c>
      <c r="H84" s="24" t="str">
        <f ca="1">IFERROR(__xludf.DUMMYFUNCTION("""COMPUTED_VALUE"""),"BD (prel), 
B. Vișnevschi, 401/4")</f>
        <v>BD (prel), 
B. Vișnevschi, 401/4</v>
      </c>
      <c r="I84" s="25" t="str">
        <f ca="1">IFERROR(__xludf.DUMMYFUNCTION("""COMPUTED_VALUE"""),"Testare Soft (prel), 
N. Lupu, 113/4")</f>
        <v>Testare Soft (prel), 
N. Lupu, 113/4</v>
      </c>
      <c r="J84" s="24"/>
      <c r="K84" s="47" t="str">
        <f ca="1">IFERROR(__xludf.DUMMYFUNCTION("""COMPUTED_VALUE"""),"II
 16:45-18:15")</f>
        <v>II
 16:45-18:15</v>
      </c>
      <c r="L84" s="140"/>
    </row>
    <row r="85" spans="1:12" ht="50.4" x14ac:dyDescent="0.25">
      <c r="A85" s="76"/>
      <c r="B85" s="145"/>
      <c r="C85" s="48" t="str">
        <f ca="1">IFERROR(__xludf.DUMMYFUNCTION("""COMPUTED_VALUE"""),"III
 18:30-20:00")</f>
        <v>III
 18:30-20:00</v>
      </c>
      <c r="D85" s="27"/>
      <c r="E85" s="175" t="str">
        <f ca="1">IFERROR(__xludf.DUMMYFUNCTION("""COMPUTED_VALUE"""),"Etica prof și acad (prel), 
D. Semeniuc, 213a/4")</f>
        <v>Etica prof și acad (prel), 
D. Semeniuc, 213a/4</v>
      </c>
      <c r="F85" s="27" t="str">
        <f ca="1">IFERROR(__xludf.DUMMYFUNCTION("""COMPUTED_VALUE"""),"Etica prof și acad (prel), 
D. Semeniuc, 213a/4")</f>
        <v>Etica prof și acad (prel), 
D. Semeniuc, 213a/4</v>
      </c>
      <c r="G85" s="27" t="str">
        <f ca="1">IFERROR(__xludf.DUMMYFUNCTION("""COMPUTED_VALUE"""),"Etica prof și acad (prel), 
D. Semeniuc, 213a/4")</f>
        <v>Etica prof și acad (prel), 
D. Semeniuc, 213a/4</v>
      </c>
      <c r="H85" s="54" t="str">
        <f ca="1">IFERROR(__xludf.DUMMYFUNCTION("""COMPUTED_VALUE"""),"II: BD (lab), 
B. Vișnevschi, 326/4")</f>
        <v>II: BD (lab), 
B. Vișnevschi, 326/4</v>
      </c>
      <c r="I85" s="27" t="str">
        <f ca="1">IFERROR(__xludf.DUMMYFUNCTION("""COMPUTED_VALUE""")," I: Testare soft (lab), 
N. Lupu, 237/4")</f>
        <v xml:space="preserve"> I: Testare soft (lab), 
N. Lupu, 237/4</v>
      </c>
      <c r="J85" s="54" t="str">
        <f ca="1">IFERROR(__xludf.DUMMYFUNCTION("""COMPUTED_VALUE"""),"Sec. aplic. web (lab), 
V. Vișnevschi, 350/4")</f>
        <v>Sec. aplic. web (lab), 
V. Vișnevschi, 350/4</v>
      </c>
      <c r="K85" s="48" t="str">
        <f ca="1">IFERROR(__xludf.DUMMYFUNCTION("""COMPUTED_VALUE"""),"III
 18:30-20:00")</f>
        <v>III
 18:30-20:00</v>
      </c>
      <c r="L85" s="141"/>
    </row>
    <row r="86" spans="1:12" ht="33.6" x14ac:dyDescent="0.25">
      <c r="A86" s="76"/>
      <c r="B86" s="143" t="str">
        <f ca="1">IFERROR(__xludf.DUMMYFUNCTION("""COMPUTED_VALUE"""),"Sîmbătă,
10.10.2026")</f>
        <v>Sîmbătă,
10.10.2026</v>
      </c>
      <c r="C86" s="43" t="str">
        <f ca="1">IFERROR(__xludf.DUMMYFUNCTION("""COMPUTED_VALUE"""),"I
 08:00-9:30")</f>
        <v>I
 08:00-9:30</v>
      </c>
      <c r="D86" s="31" t="str">
        <f ca="1">IFERROR(__xludf.DUMMYFUNCTION("""COMPUTED_VALUE"""),"L. str. (sem), 
G. Ciudin, 213a/4")</f>
        <v>L. str. (sem), 
G. Ciudin, 213a/4</v>
      </c>
      <c r="E86" s="174" t="str">
        <f ca="1">IFERROR(__xludf.DUMMYFUNCTION("""COMPUTED_VALUE"""),"L. str. (sem), 
G. Ciudin, 213a/4")</f>
        <v>L. str. (sem), 
G. Ciudin, 213a/4</v>
      </c>
      <c r="F86" s="22" t="str">
        <f ca="1">IFERROR(__xludf.DUMMYFUNCTION("""COMPUTED_VALUE"""),"L. str. (sem), 
G. Ciudin, 213a/4")</f>
        <v>L. str. (sem), 
G. Ciudin, 213a/4</v>
      </c>
      <c r="G86" s="22" t="str">
        <f ca="1">IFERROR(__xludf.DUMMYFUNCTION("""COMPUTED_VALUE"""),"L. str. (sem), 
G. Ciudin, 213a/4")</f>
        <v>L. str. (sem), 
G. Ciudin, 213a/4</v>
      </c>
      <c r="H86" s="81" t="str">
        <f ca="1">IFERROR(__xludf.DUMMYFUNCTION("""COMPUTED_VALUE"""),"Tehn. de progr. (prel), 
I. Anghelova, 113/4")</f>
        <v>Tehn. de progr. (prel), 
I. Anghelova, 113/4</v>
      </c>
      <c r="I86" s="25" t="str">
        <f ca="1">IFERROR(__xludf.DUMMYFUNCTION("""COMPUTED_VALUE"""),"Sec. aplic. web (prel), 
I. Tican, 401/4")</f>
        <v>Sec. aplic. web (prel), 
I. Tican, 401/4</v>
      </c>
      <c r="J86" s="24"/>
      <c r="K86" s="43" t="str">
        <f ca="1">IFERROR(__xludf.DUMMYFUNCTION("""COMPUTED_VALUE"""),"I
 08:00-9:30")</f>
        <v>I
 08:00-9:30</v>
      </c>
      <c r="L86" s="139" t="str">
        <f ca="1">IFERROR(__xludf.DUMMYFUNCTION("""COMPUTED_VALUE"""),"Sîmbătă,
10.10.2026")</f>
        <v>Sîmbătă,
10.10.2026</v>
      </c>
    </row>
    <row r="87" spans="1:12" ht="33.6" x14ac:dyDescent="0.25">
      <c r="A87" s="76"/>
      <c r="B87" s="144"/>
      <c r="C87" s="47" t="str">
        <f ca="1">IFERROR(__xludf.DUMMYFUNCTION("""COMPUTED_VALUE"""),"II
 09:45-11:15")</f>
        <v>II
 09:45-11:15</v>
      </c>
      <c r="D87" s="25" t="str">
        <f ca="1">IFERROR(__xludf.DUMMYFUNCTION("""COMPUTED_VALUE"""),"L. str. (sem), 
G. Ciudin, 213a/4")</f>
        <v>L. str. (sem), 
G. Ciudin, 213a/4</v>
      </c>
      <c r="E87" s="178" t="str">
        <f ca="1">IFERROR(__xludf.DUMMYFUNCTION("""COMPUTED_VALUE"""),"L. str. (sem), 
G. Ciudin, 213a/4")</f>
        <v>L. str. (sem), 
G. Ciudin, 213a/4</v>
      </c>
      <c r="F87" s="33" t="str">
        <f ca="1">IFERROR(__xludf.DUMMYFUNCTION("""COMPUTED_VALUE"""),"L. str. (sem), 
G. Ciudin, 213a/4")</f>
        <v>L. str. (sem), 
G. Ciudin, 213a/4</v>
      </c>
      <c r="G87" s="33" t="str">
        <f ca="1">IFERROR(__xludf.DUMMYFUNCTION("""COMPUTED_VALUE"""),"L. str. (sem), 
G. Ciudin, 213a/4")</f>
        <v>L. str. (sem), 
G. Ciudin, 213a/4</v>
      </c>
      <c r="H87" s="49" t="str">
        <f ca="1">IFERROR(__xludf.DUMMYFUNCTION("""COMPUTED_VALUE"""),"Tehn. de progr. (prel), 
I. Anghelova, 113/4")</f>
        <v>Tehn. de progr. (prel), 
I. Anghelova, 113/4</v>
      </c>
      <c r="I87" s="25" t="str">
        <f ca="1">IFERROR(__xludf.DUMMYFUNCTION("""COMPUTED_VALUE"""),"Dezv. apl. server (lab), 
A. Gligor, 145/4")</f>
        <v>Dezv. apl. server (lab), 
A. Gligor, 145/4</v>
      </c>
      <c r="J87" s="24"/>
      <c r="K87" s="47" t="str">
        <f ca="1">IFERROR(__xludf.DUMMYFUNCTION("""COMPUTED_VALUE"""),"II
 09:45-11:15")</f>
        <v>II
 09:45-11:15</v>
      </c>
      <c r="L87" s="140"/>
    </row>
    <row r="88" spans="1:12" ht="33.6" x14ac:dyDescent="0.25">
      <c r="A88" s="76"/>
      <c r="B88" s="144"/>
      <c r="C88" s="47" t="str">
        <f ca="1">IFERROR(__xludf.DUMMYFUNCTION("""COMPUTED_VALUE"""),"III
 11:30-13:00")</f>
        <v>III
 11:30-13:00</v>
      </c>
      <c r="D88" s="22" t="str">
        <f ca="1">IFERROR(__xludf.DUMMYFUNCTION("""COMPUTED_VALUE"""),"Teoria prob. (prel), 
V. Popa, 415/4")</f>
        <v>Teoria prob. (prel), 
V. Popa, 415/4</v>
      </c>
      <c r="E88" s="183" t="str">
        <f ca="1">IFERROR(__xludf.DUMMYFUNCTION("""COMPUTED_VALUE"""),"Tehn. de progr. (lab), 
N. Lupu, 145a/4")</f>
        <v>Tehn. de progr. (lab), 
N. Lupu, 145a/4</v>
      </c>
      <c r="F88" s="33"/>
      <c r="G88" s="37"/>
      <c r="H88" s="49" t="str">
        <f ca="1">IFERROR(__xludf.DUMMYFUNCTION("""COMPUTED_VALUE"""),"L. str. (sem), 
G. Ciudin, 213a/4")</f>
        <v>L. str. (sem), 
G. Ciudin, 213a/4</v>
      </c>
      <c r="I88" s="25" t="str">
        <f ca="1">IFERROR(__xludf.DUMMYFUNCTION("""COMPUTED_VALUE"""),"Met. stat. date (prel), 
V. Trebiș, 401/4")</f>
        <v>Met. stat. date (prel), 
V. Trebiș, 401/4</v>
      </c>
      <c r="J88" s="24"/>
      <c r="K88" s="47" t="str">
        <f ca="1">IFERROR(__xludf.DUMMYFUNCTION("""COMPUTED_VALUE"""),"III
 11:30-13:00")</f>
        <v>III
 11:30-13:00</v>
      </c>
      <c r="L88" s="140"/>
    </row>
    <row r="89" spans="1:12" ht="33.6" x14ac:dyDescent="0.25">
      <c r="A89" s="76"/>
      <c r="B89" s="144"/>
      <c r="C89" s="47" t="str">
        <f ca="1">IFERROR(__xludf.DUMMYFUNCTION("""COMPUTED_VALUE"""),"IV
 13:15-14:45")</f>
        <v>IV
 13:15-14:45</v>
      </c>
      <c r="D89" s="22" t="str">
        <f ca="1">IFERROR(__xludf.DUMMYFUNCTION("""COMPUTED_VALUE"""),"Analiza funct. (prel), 
V. Popa, 415/4")</f>
        <v>Analiza funct. (prel), 
V. Popa, 415/4</v>
      </c>
      <c r="E89" s="183" t="str">
        <f ca="1">IFERROR(__xludf.DUMMYFUNCTION("""COMPUTED_VALUE"""),"Tehn. de progr. (lab), 
N. Lupu, 145a/4")</f>
        <v>Tehn. de progr. (lab), 
N. Lupu, 145a/4</v>
      </c>
      <c r="F89" s="37"/>
      <c r="G89" s="37"/>
      <c r="H89" s="24" t="str">
        <f ca="1">IFERROR(__xludf.DUMMYFUNCTION("""COMPUTED_VALUE"""),"L. str. (sem), 
G. Ciudin, 213a/4")</f>
        <v>L. str. (sem), 
G. Ciudin, 213a/4</v>
      </c>
      <c r="I89" s="25" t="str">
        <f ca="1">IFERROR(__xludf.DUMMYFUNCTION("""COMPUTED_VALUE""")," I: Met. stat. date (lab), 
V. Trebiș, 350/4")</f>
        <v xml:space="preserve"> I: Met. stat. date (lab), 
V. Trebiș, 350/4</v>
      </c>
      <c r="J89" s="24"/>
      <c r="K89" s="47" t="str">
        <f ca="1">IFERROR(__xludf.DUMMYFUNCTION("""COMPUTED_VALUE"""),"IV
 13:15-14:45")</f>
        <v>IV
 13:15-14:45</v>
      </c>
      <c r="L89" s="140"/>
    </row>
    <row r="90" spans="1:12" ht="33.6" x14ac:dyDescent="0.25">
      <c r="A90" s="76"/>
      <c r="B90" s="144"/>
      <c r="C90" s="47" t="str">
        <f ca="1">IFERROR(__xludf.DUMMYFUNCTION("""COMPUTED_VALUE""")," V
15:00-16:30")</f>
        <v xml:space="preserve"> V
15:00-16:30</v>
      </c>
      <c r="D90" s="25" t="str">
        <f ca="1">IFERROR(__xludf.DUMMYFUNCTION("""COMPUTED_VALUE"""),"Analiza funct. (prel), 
V. Popa, 415/4")</f>
        <v>Analiza funct. (prel), 
V. Popa, 415/4</v>
      </c>
      <c r="E90" s="183"/>
      <c r="F90" s="33"/>
      <c r="G90" s="37"/>
      <c r="H90" s="47"/>
      <c r="I90" s="32"/>
      <c r="J90" s="49"/>
      <c r="K90" s="47" t="str">
        <f ca="1">IFERROR(__xludf.DUMMYFUNCTION("""COMPUTED_VALUE""")," V
15:00-16:30")</f>
        <v xml:space="preserve"> V
15:00-16:30</v>
      </c>
      <c r="L90" s="140"/>
    </row>
    <row r="91" spans="1:12" ht="16.8" x14ac:dyDescent="0.25">
      <c r="A91" s="76"/>
      <c r="B91" s="145"/>
      <c r="C91" s="48" t="str">
        <f ca="1">IFERROR(__xludf.DUMMYFUNCTION("""COMPUTED_VALUE"""),"VI
 16:45-18:15")</f>
        <v>VI
 16:45-18:15</v>
      </c>
      <c r="D91" s="2"/>
      <c r="E91" s="188"/>
      <c r="F91" s="27"/>
      <c r="G91" s="28"/>
      <c r="H91" s="89"/>
      <c r="I91" s="28"/>
      <c r="J91" s="89"/>
      <c r="K91" s="48" t="str">
        <f ca="1">IFERROR(__xludf.DUMMYFUNCTION("""COMPUTED_VALUE"""),"VI
 16:45-18:15")</f>
        <v>VI
 16:45-18:15</v>
      </c>
      <c r="L91" s="141"/>
    </row>
    <row r="92" spans="1:12" ht="16.8" x14ac:dyDescent="0.25">
      <c r="A92" s="76"/>
      <c r="B92" s="143" t="str">
        <f ca="1">IFERROR(__xludf.DUMMYFUNCTION("""COMPUTED_VALUE"""),"Duminică,
11.10.2026")</f>
        <v>Duminică,
11.10.2026</v>
      </c>
      <c r="C92" s="43" t="str">
        <f ca="1">IFERROR(__xludf.DUMMYFUNCTION("""COMPUTED_VALUE"""),"I
 08:00-9:30")</f>
        <v>I
 08:00-9:30</v>
      </c>
      <c r="D92" s="110"/>
      <c r="E92" s="182"/>
      <c r="F92" s="80"/>
      <c r="G92" s="80"/>
      <c r="H92" s="47" t="str">
        <f ca="1">IFERROR(__xludf.DUMMYFUNCTION("""COMPUTED_VALUE""")," I: Tehn. de progr. (lab), 
I. Anghelova, 145a/4")</f>
        <v xml:space="preserve"> I: Tehn. de progr. (lab), 
I. Anghelova, 145a/4</v>
      </c>
      <c r="I92" s="80"/>
      <c r="J92" s="111"/>
      <c r="K92" s="43" t="str">
        <f ca="1">IFERROR(__xludf.DUMMYFUNCTION("""COMPUTED_VALUE"""),"I
 08:00-9:30")</f>
        <v>I
 08:00-9:30</v>
      </c>
      <c r="L92" s="139" t="str">
        <f ca="1">IFERROR(__xludf.DUMMYFUNCTION("""COMPUTED_VALUE"""),"Duminică,
11.10.2026")</f>
        <v>Duminică,
11.10.2026</v>
      </c>
    </row>
    <row r="93" spans="1:12" ht="16.8" x14ac:dyDescent="0.25">
      <c r="A93" s="76"/>
      <c r="B93" s="144"/>
      <c r="C93" s="47" t="str">
        <f ca="1">IFERROR(__xludf.DUMMYFUNCTION("""COMPUTED_VALUE"""),"II
 09:45-11:15")</f>
        <v>II
 09:45-11:15</v>
      </c>
      <c r="D93" s="25"/>
      <c r="E93" s="173"/>
      <c r="F93" s="32"/>
      <c r="G93" s="32"/>
      <c r="H93" s="47" t="str">
        <f ca="1">IFERROR(__xludf.DUMMYFUNCTION("""COMPUTED_VALUE""")," I: Tehn. de progr. (lab), 
I. Anghelova, 145a/4")</f>
        <v xml:space="preserve"> I: Tehn. de progr. (lab), 
I. Anghelova, 145a/4</v>
      </c>
      <c r="I93" s="32"/>
      <c r="J93" s="111"/>
      <c r="K93" s="47" t="str">
        <f ca="1">IFERROR(__xludf.DUMMYFUNCTION("""COMPUTED_VALUE"""),"II
 09:45-11:15")</f>
        <v>II
 09:45-11:15</v>
      </c>
      <c r="L93" s="140"/>
    </row>
    <row r="94" spans="1:12" ht="16.8" x14ac:dyDescent="0.25">
      <c r="A94" s="76"/>
      <c r="B94" s="144"/>
      <c r="C94" s="47" t="str">
        <f ca="1">IFERROR(__xludf.DUMMYFUNCTION("""COMPUTED_VALUE"""),"III
 11:30-13:00")</f>
        <v>III
 11:30-13:00</v>
      </c>
      <c r="D94" s="25"/>
      <c r="E94" s="173"/>
      <c r="F94" s="91"/>
      <c r="G94" s="33"/>
      <c r="H94" s="53"/>
      <c r="I94" s="112"/>
      <c r="J94" s="49"/>
      <c r="K94" s="47" t="str">
        <f ca="1">IFERROR(__xludf.DUMMYFUNCTION("""COMPUTED_VALUE"""),"III
 11:30-13:00")</f>
        <v>III
 11:30-13:00</v>
      </c>
      <c r="L94" s="140"/>
    </row>
    <row r="95" spans="1:12" ht="16.8" x14ac:dyDescent="0.25">
      <c r="A95" s="76"/>
      <c r="B95" s="144"/>
      <c r="C95" s="47" t="str">
        <f ca="1">IFERROR(__xludf.DUMMYFUNCTION("""COMPUTED_VALUE"""),"IV
 13:15-14:45")</f>
        <v>IV
 13:15-14:45</v>
      </c>
      <c r="D95" s="22"/>
      <c r="E95" s="187"/>
      <c r="F95" s="91"/>
      <c r="G95" s="33"/>
      <c r="H95" s="53"/>
      <c r="I95" s="112"/>
      <c r="J95" s="92"/>
      <c r="K95" s="47" t="str">
        <f ca="1">IFERROR(__xludf.DUMMYFUNCTION("""COMPUTED_VALUE"""),"IV
 13:15-14:45")</f>
        <v>IV
 13:15-14:45</v>
      </c>
      <c r="L95" s="140"/>
    </row>
    <row r="96" spans="1:12" ht="16.8" x14ac:dyDescent="0.25">
      <c r="A96" s="76"/>
      <c r="B96" s="144"/>
      <c r="C96" s="47" t="str">
        <f ca="1">IFERROR(__xludf.DUMMYFUNCTION("""COMPUTED_VALUE""")," V
15:00-16:30")</f>
        <v xml:space="preserve"> V
15:00-16:30</v>
      </c>
      <c r="D96" s="113"/>
      <c r="E96" s="187"/>
      <c r="F96" s="91"/>
      <c r="G96" s="22"/>
      <c r="H96" s="92"/>
      <c r="I96" s="91"/>
      <c r="J96" s="92"/>
      <c r="K96" s="47" t="str">
        <f ca="1">IFERROR(__xludf.DUMMYFUNCTION("""COMPUTED_VALUE""")," V
15:00-16:30")</f>
        <v xml:space="preserve"> V
15:00-16:30</v>
      </c>
      <c r="L96" s="140"/>
    </row>
    <row r="97" spans="1:12" ht="50.4" x14ac:dyDescent="0.25">
      <c r="A97" s="76"/>
      <c r="B97" s="145"/>
      <c r="C97" s="94" t="str">
        <f ca="1">IFERROR(__xludf.DUMMYFUNCTION("""COMPUTED_VALUE"""),"VI
 16:45-18:15")</f>
        <v>VI
 16:45-18:15</v>
      </c>
      <c r="D97" s="84"/>
      <c r="E97" s="171"/>
      <c r="F97" s="96"/>
      <c r="G97" s="96"/>
      <c r="H97" s="48"/>
      <c r="I97" s="28"/>
      <c r="J97" s="48"/>
      <c r="K97" s="94" t="str">
        <f ca="1">IFERROR(__xludf.DUMMYFUNCTION("""COMPUTED_VALUE"""),"VI
 16:45-18:15")</f>
        <v>VI
 16:45-18:15</v>
      </c>
      <c r="L97" s="141"/>
    </row>
    <row r="98" spans="1:12" ht="9" customHeight="1" collapsed="1" x14ac:dyDescent="0.25">
      <c r="A98" s="114"/>
      <c r="B98" s="114"/>
      <c r="C98" s="114"/>
      <c r="D98" s="115"/>
      <c r="E98" s="191"/>
      <c r="F98" s="116"/>
      <c r="G98" s="116"/>
      <c r="H98" s="116"/>
      <c r="I98" s="116"/>
      <c r="J98" s="116"/>
      <c r="K98" s="114"/>
      <c r="L98" s="114"/>
    </row>
    <row r="99" spans="1:12" ht="16.8" hidden="1" outlineLevel="1" x14ac:dyDescent="0.25">
      <c r="A99" s="4"/>
      <c r="B99" s="151"/>
      <c r="C99" s="152"/>
      <c r="D99" s="69"/>
      <c r="E99" s="155"/>
      <c r="F99" s="161"/>
      <c r="G99" s="161"/>
      <c r="H99" s="162"/>
      <c r="I99" s="155"/>
      <c r="J99" s="157"/>
      <c r="K99" s="2"/>
      <c r="L99" s="70"/>
    </row>
    <row r="100" spans="1:12" ht="16.8" hidden="1" outlineLevel="1" x14ac:dyDescent="0.3">
      <c r="A100" s="4"/>
      <c r="B100" s="159"/>
      <c r="C100" s="160"/>
      <c r="D100" s="71"/>
      <c r="E100" s="181"/>
      <c r="F100" s="97"/>
      <c r="G100" s="97"/>
      <c r="H100" s="117"/>
      <c r="I100" s="72"/>
      <c r="J100" s="74"/>
      <c r="K100" s="2"/>
      <c r="L100" s="75"/>
    </row>
    <row r="101" spans="1:12" ht="50.4" x14ac:dyDescent="0.25">
      <c r="A101" s="76"/>
      <c r="B101" s="143" t="str">
        <f ca="1">IFERROR(__xludf.DUMMYFUNCTION("""COMPUTED_VALUE"""),"Luni,
12.10.2026")</f>
        <v>Luni,
12.10.2026</v>
      </c>
      <c r="C101" s="98" t="str">
        <f ca="1">IFERROR(__xludf.DUMMYFUNCTION("""COMPUTED_VALUE""")," I
15:00-16:30")</f>
        <v xml:space="preserve"> I
15:00-16:30</v>
      </c>
      <c r="D101" s="110"/>
      <c r="E101" s="192"/>
      <c r="F101" s="78" t="str">
        <f ca="1">IFERROR(__xludf.DUMMYFUNCTION("""COMPUTED_VALUE"""),"BD (lab), 
D. Semeniuc, 145a/4")</f>
        <v>BD (lab), 
D. Semeniuc, 145a/4</v>
      </c>
      <c r="G101" s="99"/>
      <c r="H101" s="118" t="str">
        <f ca="1">IFERROR(__xludf.DUMMYFUNCTION("""COMPUTED_VALUE"""),"II: Mat. discr log. (sem), 
I. Cucu, 213a/4")</f>
        <v>II: Mat. discr log. (sem), 
I. Cucu, 213a/4</v>
      </c>
      <c r="I101" s="105"/>
      <c r="J101" s="77"/>
      <c r="K101" s="98" t="str">
        <f ca="1">IFERROR(__xludf.DUMMYFUNCTION("""COMPUTED_VALUE""")," I
15:00-16:30")</f>
        <v xml:space="preserve"> I
15:00-16:30</v>
      </c>
      <c r="L101" s="139" t="str">
        <f ca="1">IFERROR(__xludf.DUMMYFUNCTION("""COMPUTED_VALUE"""),"Luni,
12.10.2026")</f>
        <v>Luni,
12.10.2026</v>
      </c>
    </row>
    <row r="102" spans="1:12" ht="84" x14ac:dyDescent="0.25">
      <c r="A102" s="76"/>
      <c r="B102" s="144"/>
      <c r="C102" s="47" t="str">
        <f ca="1">IFERROR(__xludf.DUMMYFUNCTION("""COMPUTED_VALUE""")," II
16:45-18:15")</f>
        <v xml:space="preserve"> II
16:45-18:15</v>
      </c>
      <c r="D102" s="39"/>
      <c r="E102" s="183" t="str">
        <f ca="1">IFERROR(__xludf.DUMMYFUNCTION("""COMPUTED_VALUE"""),"BD (lab), 
D. Semeniuc, 143/4")</f>
        <v>BD (lab), 
D. Semeniuc, 143/4</v>
      </c>
      <c r="F102" s="80" t="str">
        <f ca="1">IFERROR(__xludf.DUMMYFUNCTION("""COMPUTED_VALUE"""),"Tehn. de progr. (lab), 
N. Lupu, 326/4")</f>
        <v>Tehn. de progr. (lab), 
N. Lupu, 326/4</v>
      </c>
      <c r="G102" s="37" t="str">
        <f ca="1">IFERROR(__xludf.DUMMYFUNCTION("""COMPUTED_VALUE"""),"BD (lab), 
D. Semeniuc, 143/4")</f>
        <v>BD (lab), 
D. Semeniuc, 143/4</v>
      </c>
      <c r="H102" s="52" t="str">
        <f ca="1">IFERROR(__xludf.DUMMYFUNCTION("""COMPUTED_VALUE""")," I: BD (lab), 
B. Vișnevschi, 350/4
II: Mat. discr log. (sem), 
I. Cucu, 214/4")</f>
        <v xml:space="preserve"> I: BD (lab), 
B. Vișnevschi, 350/4
II: Mat. discr log. (sem), 
I. Cucu, 214/4</v>
      </c>
      <c r="I102" s="35"/>
      <c r="J102" s="24" t="str">
        <f ca="1">IFERROR(__xludf.DUMMYFUNCTION("""COMPUTED_VALUE"""),"Dezv. apl. server (lab), 
V. Vișnevschi, 251/4")</f>
        <v>Dezv. apl. server (lab), 
V. Vișnevschi, 251/4</v>
      </c>
      <c r="K102" s="47" t="str">
        <f ca="1">IFERROR(__xludf.DUMMYFUNCTION("""COMPUTED_VALUE""")," II
16:45-18:15")</f>
        <v xml:space="preserve"> II
16:45-18:15</v>
      </c>
      <c r="L102" s="140"/>
    </row>
    <row r="103" spans="1:12" ht="33.6" x14ac:dyDescent="0.25">
      <c r="A103" s="76"/>
      <c r="B103" s="145"/>
      <c r="C103" s="48" t="str">
        <f ca="1">IFERROR(__xludf.DUMMYFUNCTION("""COMPUTED_VALUE"""),"III
18:30-20:00")</f>
        <v>III
18:30-20:00</v>
      </c>
      <c r="D103" s="27"/>
      <c r="E103" s="171" t="str">
        <f ca="1">IFERROR(__xludf.DUMMYFUNCTION("""COMPUTED_VALUE"""),"BD (lab), 
D. Semeniuc, 143/4")</f>
        <v>BD (lab), 
D. Semeniuc, 143/4</v>
      </c>
      <c r="F103" s="28" t="str">
        <f ca="1">IFERROR(__xludf.DUMMYFUNCTION("""COMPUTED_VALUE"""),"Tehn. de progr. (lab), 
N. Lupu, 326/4")</f>
        <v>Tehn. de progr. (lab), 
N. Lupu, 326/4</v>
      </c>
      <c r="G103" s="28" t="str">
        <f ca="1">IFERROR(__xludf.DUMMYFUNCTION("""COMPUTED_VALUE"""),"BD (lab), 
D. Semeniuc, 143/4")</f>
        <v>BD (lab), 
D. Semeniuc, 143/4</v>
      </c>
      <c r="H103" s="54" t="str">
        <f ca="1">IFERROR(__xludf.DUMMYFUNCTION("""COMPUTED_VALUE""")," I: BD (lab), 
B. Vișnevschi, 423/4")</f>
        <v xml:space="preserve"> I: BD (lab), 
B. Vișnevschi, 423/4</v>
      </c>
      <c r="I103" s="28"/>
      <c r="J103" s="54" t="str">
        <f ca="1">IFERROR(__xludf.DUMMYFUNCTION("""COMPUTED_VALUE"""),"Dezv. apl. server (prel), 
V. Vișnevschi, 222/4")</f>
        <v>Dezv. apl. server (prel), 
V. Vișnevschi, 222/4</v>
      </c>
      <c r="K103" s="48" t="str">
        <f ca="1">IFERROR(__xludf.DUMMYFUNCTION("""COMPUTED_VALUE"""),"III
18:30-20:00")</f>
        <v>III
18:30-20:00</v>
      </c>
      <c r="L103" s="141"/>
    </row>
    <row r="104" spans="1:12" ht="31.5" customHeight="1" x14ac:dyDescent="0.25">
      <c r="A104" s="76"/>
      <c r="B104" s="143" t="str">
        <f ca="1">IFERROR(__xludf.DUMMYFUNCTION("""COMPUTED_VALUE"""),"Marți,
13.10.2026")</f>
        <v>Marți,
13.10.2026</v>
      </c>
      <c r="C104" s="98" t="str">
        <f ca="1">IFERROR(__xludf.DUMMYFUNCTION("""COMPUTED_VALUE"""),"13:15-14:45")</f>
        <v>13:15-14:45</v>
      </c>
      <c r="D104" s="68"/>
      <c r="E104" s="187"/>
      <c r="F104" s="32"/>
      <c r="G104" s="32"/>
      <c r="H104" s="49"/>
      <c r="I104" s="25"/>
      <c r="J104" s="24"/>
      <c r="K104" s="98" t="str">
        <f ca="1">IFERROR(__xludf.DUMMYFUNCTION("""COMPUTED_VALUE"""),"13:15-14:45")</f>
        <v>13:15-14:45</v>
      </c>
      <c r="L104" s="139" t="str">
        <f ca="1">IFERROR(__xludf.DUMMYFUNCTION("""COMPUTED_VALUE"""),"Marți,
13.10.2026")</f>
        <v>Marți,
13.10.2026</v>
      </c>
    </row>
    <row r="105" spans="1:12" ht="67.2" x14ac:dyDescent="0.25">
      <c r="A105" s="76"/>
      <c r="B105" s="144"/>
      <c r="C105" s="43" t="str">
        <f ca="1">IFERROR(__xludf.DUMMYFUNCTION("""COMPUTED_VALUE""")," I
15:00-16:30")</f>
        <v xml:space="preserve"> I
15:00-16:30</v>
      </c>
      <c r="D105" s="22" t="str">
        <f ca="1">IFERROR(__xludf.DUMMYFUNCTION("""COMPUTED_VALUE"""),"Analiza funct. (sem), 
V. Popa, 419/4
Teoria prob. (sem), 
V. Popa, 419/4")</f>
        <v>Analiza funct. (sem), 
V. Popa, 419/4
Teoria prob. (sem), 
V. Popa, 419/4</v>
      </c>
      <c r="E105" s="173"/>
      <c r="F105" s="119" t="str">
        <f ca="1">IFERROR(__xludf.DUMMYFUNCTION("""COMPUTED_VALUE"""),"Etica prof și acad (sem), 
D. Semeniuc, 214/4")</f>
        <v>Etica prof și acad (sem), 
D. Semeniuc, 214/4</v>
      </c>
      <c r="G105" s="119"/>
      <c r="H105" s="45" t="str">
        <f ca="1">IFERROR(__xludf.DUMMYFUNCTION("""COMPUTED_VALUE"""),"Mat. discr log. (prel), 
I. Cucu, 222/4")</f>
        <v>Mat. discr log. (prel), 
I. Cucu, 222/4</v>
      </c>
      <c r="I105" s="25" t="str">
        <f ca="1">IFERROR(__xludf.DUMMYFUNCTION("""COMPUTED_VALUE"""),"Testare Soft (prel), 
N. Lupu, 113/4")</f>
        <v>Testare Soft (prel), 
N. Lupu, 113/4</v>
      </c>
      <c r="J105" s="120"/>
      <c r="K105" s="81" t="str">
        <f ca="1">IFERROR(__xludf.DUMMYFUNCTION("""COMPUTED_VALUE""")," I
15:00-16:30")</f>
        <v xml:space="preserve"> I
15:00-16:30</v>
      </c>
      <c r="L105" s="140"/>
    </row>
    <row r="106" spans="1:12" ht="33.6" x14ac:dyDescent="0.25">
      <c r="A106" s="76"/>
      <c r="B106" s="144"/>
      <c r="C106" s="47" t="str">
        <f ca="1">IFERROR(__xludf.DUMMYFUNCTION("""COMPUTED_VALUE"""),"II
16:45-18:15")</f>
        <v>II
16:45-18:15</v>
      </c>
      <c r="D106" s="25"/>
      <c r="E106" s="174" t="str">
        <f ca="1">IFERROR(__xludf.DUMMYFUNCTION("""COMPUTED_VALUE"""),"Mat. discr log. (prel), 
I. Cucu, 213a/4")</f>
        <v>Mat. discr log. (prel), 
I. Cucu, 213a/4</v>
      </c>
      <c r="F106" s="22" t="str">
        <f ca="1">IFERROR(__xludf.DUMMYFUNCTION("""COMPUTED_VALUE"""),"Mat. discr log. (prel), 
I. Cucu, 213a/4")</f>
        <v>Mat. discr log. (prel), 
I. Cucu, 213a/4</v>
      </c>
      <c r="G106" s="22" t="str">
        <f ca="1">IFERROR(__xludf.DUMMYFUNCTION("""COMPUTED_VALUE"""),"Mat. discr log. (prel), 
I. Cucu, 213a/4")</f>
        <v>Mat. discr log. (prel), 
I. Cucu, 213a/4</v>
      </c>
      <c r="H106" s="47" t="str">
        <f ca="1">IFERROR(__xludf.DUMMYFUNCTION("""COMPUTED_VALUE"""),"II: BD (lab), 
B. Vișnevschi, 216a/4a")</f>
        <v>II: BD (lab), 
B. Vișnevschi, 216a/4a</v>
      </c>
      <c r="I106" s="22" t="str">
        <f ca="1">IFERROR(__xludf.DUMMYFUNCTION("""COMPUTED_VALUE"""),"II: Met. stat. date (lab), 
V. Trebiș, 218/4a")</f>
        <v>II: Met. stat. date (lab), 
V. Trebiș, 218/4a</v>
      </c>
      <c r="J106" s="24"/>
      <c r="K106" s="47" t="str">
        <f ca="1">IFERROR(__xludf.DUMMYFUNCTION("""COMPUTED_VALUE"""),"II
16:45-18:15")</f>
        <v>II
16:45-18:15</v>
      </c>
      <c r="L106" s="140"/>
    </row>
    <row r="107" spans="1:12" ht="33.6" x14ac:dyDescent="0.25">
      <c r="A107" s="76"/>
      <c r="B107" s="145"/>
      <c r="C107" s="48" t="str">
        <f ca="1">IFERROR(__xludf.DUMMYFUNCTION("""COMPUTED_VALUE""")," III
18:30-20:00")</f>
        <v xml:space="preserve"> III
18:30-20:00</v>
      </c>
      <c r="D107" s="84"/>
      <c r="E107" s="171" t="str">
        <f ca="1">IFERROR(__xludf.DUMMYFUNCTION("""COMPUTED_VALUE"""),"Mat. discr log. (sem), 
I. Cucu, 415/4")</f>
        <v>Mat. discr log. (sem), 
I. Cucu, 415/4</v>
      </c>
      <c r="F107" s="27"/>
      <c r="G107" s="96" t="str">
        <f ca="1">IFERROR(__xludf.DUMMYFUNCTION("""COMPUTED_VALUE"""),"Mat. discr log. (sem), 
I. Cucu, 415/4")</f>
        <v>Mat. discr log. (sem), 
I. Cucu, 415/4</v>
      </c>
      <c r="H107" s="48" t="str">
        <f ca="1">IFERROR(__xludf.DUMMYFUNCTION("""COMPUTED_VALUE"""),"II: BD (lab), 
B. Vișnevschi, 145a/4")</f>
        <v>II: BD (lab), 
B. Vișnevschi, 145a/4</v>
      </c>
      <c r="I107" s="121" t="str">
        <f ca="1">IFERROR(__xludf.DUMMYFUNCTION("""COMPUTED_VALUE"""),"Met. stat. date (prel), 
V. Trebiș, 222/4")</f>
        <v>Met. stat. date (prel), 
V. Trebiș, 222/4</v>
      </c>
      <c r="J107" s="54" t="str">
        <f ca="1">IFERROR(__xludf.DUMMYFUNCTION("""COMPUTED_VALUE"""),"Sec. aplic. web (lab), 
V. Vișnevschi, 145/4")</f>
        <v>Sec. aplic. web (lab), 
V. Vișnevschi, 145/4</v>
      </c>
      <c r="K107" s="48" t="str">
        <f ca="1">IFERROR(__xludf.DUMMYFUNCTION("""COMPUTED_VALUE""")," III
18:30-20:00")</f>
        <v xml:space="preserve"> III
18:30-20:00</v>
      </c>
      <c r="L107" s="141"/>
    </row>
    <row r="108" spans="1:12" ht="16.8" x14ac:dyDescent="0.25">
      <c r="A108" s="122"/>
      <c r="B108" s="146" t="str">
        <f ca="1">IFERROR(__xludf.DUMMYFUNCTION("""COMPUTED_VALUE"""),"Miercuri,
14.10.2026")</f>
        <v>Miercuri,
14.10.2026</v>
      </c>
      <c r="C108" s="123" t="str">
        <f ca="1">IFERROR(__xludf.DUMMYFUNCTION("""COMPUTED_VALUE""")," I
15:00-16:30")</f>
        <v xml:space="preserve"> I
15:00-16:30</v>
      </c>
      <c r="D108" s="109"/>
      <c r="E108" s="193"/>
      <c r="F108" s="125"/>
      <c r="G108" s="124"/>
      <c r="H108" s="126"/>
      <c r="I108" s="127"/>
      <c r="J108" s="128"/>
      <c r="K108" s="123" t="str">
        <f ca="1">IFERROR(__xludf.DUMMYFUNCTION("""COMPUTED_VALUE""")," I
15:00-16:30")</f>
        <v xml:space="preserve"> I
15:00-16:30</v>
      </c>
      <c r="L108" s="142" t="str">
        <f ca="1">IFERROR(__xludf.DUMMYFUNCTION("""COMPUTED_VALUE"""),"Miercuri,
14.10.2026")</f>
        <v>Miercuri,
14.10.2026</v>
      </c>
    </row>
    <row r="109" spans="1:12" ht="16.8" x14ac:dyDescent="0.25">
      <c r="A109" s="122"/>
      <c r="B109" s="144"/>
      <c r="C109" s="129" t="str">
        <f ca="1">IFERROR(__xludf.DUMMYFUNCTION("""COMPUTED_VALUE""")," II
16:45-18:15")</f>
        <v xml:space="preserve"> II
16:45-18:15</v>
      </c>
      <c r="D109" s="23"/>
      <c r="E109" s="194"/>
      <c r="F109" s="87"/>
      <c r="G109" s="87"/>
      <c r="H109" s="130"/>
      <c r="I109" s="109"/>
      <c r="J109" s="128"/>
      <c r="K109" s="129" t="str">
        <f ca="1">IFERROR(__xludf.DUMMYFUNCTION("""COMPUTED_VALUE""")," II
16:45-18:15")</f>
        <v xml:space="preserve"> II
16:45-18:15</v>
      </c>
      <c r="L109" s="140"/>
    </row>
    <row r="110" spans="1:12" ht="16.8" x14ac:dyDescent="0.25">
      <c r="A110" s="122"/>
      <c r="B110" s="145"/>
      <c r="C110" s="131" t="str">
        <f ca="1">IFERROR(__xludf.DUMMYFUNCTION("""COMPUTED_VALUE"""),"III
 18:30-20:00")</f>
        <v>III
 18:30-20:00</v>
      </c>
      <c r="D110" s="88"/>
      <c r="E110" s="195"/>
      <c r="F110" s="88"/>
      <c r="G110" s="88"/>
      <c r="H110" s="132"/>
      <c r="I110" s="88"/>
      <c r="J110" s="133"/>
      <c r="K110" s="134" t="str">
        <f ca="1">IFERROR(__xludf.DUMMYFUNCTION("""COMPUTED_VALUE"""),"III
 18:30-20:00")</f>
        <v>III
 18:30-20:00</v>
      </c>
      <c r="L110" s="141"/>
    </row>
    <row r="111" spans="1:12" ht="16.8" hidden="1" x14ac:dyDescent="0.25">
      <c r="A111" s="76"/>
      <c r="B111" s="143" t="str">
        <f ca="1">IFERROR(__xludf.DUMMYFUNCTION("""COMPUTED_VALUE"""),"Joi,
15.10.2026")</f>
        <v>Joi,
15.10.2026</v>
      </c>
      <c r="C111" s="82" t="str">
        <f ca="1">IFERROR(__xludf.DUMMYFUNCTION("""COMPUTED_VALUE"""),"13:15-14:45")</f>
        <v>13:15-14:45</v>
      </c>
      <c r="D111" s="44"/>
      <c r="E111" s="177"/>
      <c r="F111" s="80"/>
      <c r="G111" s="80"/>
      <c r="H111" s="81"/>
      <c r="I111" s="25"/>
      <c r="J111" s="46"/>
      <c r="K111" s="82" t="str">
        <f ca="1">IFERROR(__xludf.DUMMYFUNCTION("""COMPUTED_VALUE"""),"13:15-14:45")</f>
        <v>13:15-14:45</v>
      </c>
      <c r="L111" s="139" t="str">
        <f ca="1">IFERROR(__xludf.DUMMYFUNCTION("""COMPUTED_VALUE"""),"Joi,
15.10.2026")</f>
        <v>Joi,
15.10.2026</v>
      </c>
    </row>
    <row r="112" spans="1:12" ht="33.6" x14ac:dyDescent="0.25">
      <c r="A112" s="76"/>
      <c r="B112" s="144"/>
      <c r="C112" s="85" t="str">
        <f ca="1">IFERROR(__xludf.DUMMYFUNCTION("""COMPUTED_VALUE""")," I
15:00-16:30")</f>
        <v xml:space="preserve"> I
15:00-16:30</v>
      </c>
      <c r="D112" s="25" t="str">
        <f ca="1">IFERROR(__xludf.DUMMYFUNCTION("""COMPUTED_VALUE"""),"Ecuații dif. (sem), 
G. Sprincean, 412/c")</f>
        <v>Ecuații dif. (sem), 
G. Sprincean, 412/c</v>
      </c>
      <c r="E112" s="174"/>
      <c r="F112" s="32" t="str">
        <f ca="1">IFERROR(__xludf.DUMMYFUNCTION("""COMPUTED_VALUE"""),"BD (lab), 
D. Semeniuc, 219/4a")</f>
        <v>BD (lab), 
D. Semeniuc, 219/4a</v>
      </c>
      <c r="G112" s="32"/>
      <c r="H112" s="49" t="str">
        <f ca="1">IFERROR(__xludf.DUMMYFUNCTION("""COMPUTED_VALUE"""),"II: BD (lab), 
B. Vișnevschi, 216a/4a")</f>
        <v>II: BD (lab), 
B. Vișnevschi, 216a/4a</v>
      </c>
      <c r="I112" s="135"/>
      <c r="J112" s="120"/>
      <c r="K112" s="21" t="str">
        <f ca="1">IFERROR(__xludf.DUMMYFUNCTION("""COMPUTED_VALUE""")," I
15:00-16:30")</f>
        <v xml:space="preserve"> I
15:00-16:30</v>
      </c>
      <c r="L112" s="140"/>
    </row>
    <row r="113" spans="1:12" ht="33.6" x14ac:dyDescent="0.25">
      <c r="A113" s="76"/>
      <c r="B113" s="144"/>
      <c r="C113" s="47" t="str">
        <f ca="1">IFERROR(__xludf.DUMMYFUNCTION("""COMPUTED_VALUE"""),"II
 16:45-18:15")</f>
        <v>II
 16:45-18:15</v>
      </c>
      <c r="D113" s="22" t="str">
        <f ca="1">IFERROR(__xludf.DUMMYFUNCTION("""COMPUTED_VALUE"""),"L. str. (sem), 
G. Ciudin, 213a/4")</f>
        <v>L. str. (sem), 
G. Ciudin, 213a/4</v>
      </c>
      <c r="E113" s="174" t="str">
        <f ca="1">IFERROR(__xludf.DUMMYFUNCTION("""COMPUTED_VALUE"""),"L. str. (sem), 
G. Ciudin, 213a/4")</f>
        <v>L. str. (sem), 
G. Ciudin, 213a/4</v>
      </c>
      <c r="F113" s="22" t="str">
        <f ca="1">IFERROR(__xludf.DUMMYFUNCTION("""COMPUTED_VALUE"""),"L. str. (sem), 
G. Ciudin, 213a/4")</f>
        <v>L. str. (sem), 
G. Ciudin, 213a/4</v>
      </c>
      <c r="G113" s="22" t="str">
        <f ca="1">IFERROR(__xludf.DUMMYFUNCTION("""COMPUTED_VALUE"""),"L. str. (sem), 
G. Ciudin, 213a/4")</f>
        <v>L. str. (sem), 
G. Ciudin, 213a/4</v>
      </c>
      <c r="H113" s="47" t="str">
        <f ca="1">IFERROR(__xludf.DUMMYFUNCTION("""COMPUTED_VALUE""")," I: BD (lab), 
B. Vișnevschi, 216a/4a")</f>
        <v xml:space="preserve"> I: BD (lab), 
B. Vișnevschi, 216a/4a</v>
      </c>
      <c r="I113" s="22" t="str">
        <f ca="1">IFERROR(__xludf.DUMMYFUNCTION("""COMPUTED_VALUE"""),"II: Testare soft (lab), 
N. Lupu, 219/4a")</f>
        <v>II: Testare soft (lab), 
N. Lupu, 219/4a</v>
      </c>
      <c r="J113" s="24" t="str">
        <f ca="1">IFERROR(__xludf.DUMMYFUNCTION("""COMPUTED_VALUE"""),"Met. stat. date (prel), 
V. Trebiș, 214/4")</f>
        <v>Met. stat. date (prel), 
V. Trebiș, 214/4</v>
      </c>
      <c r="K113" s="47" t="str">
        <f ca="1">IFERROR(__xludf.DUMMYFUNCTION("""COMPUTED_VALUE"""),"II
 16:45-18:15")</f>
        <v>II
 16:45-18:15</v>
      </c>
      <c r="L113" s="140"/>
    </row>
    <row r="114" spans="1:12" ht="33.6" x14ac:dyDescent="0.25">
      <c r="A114" s="76"/>
      <c r="B114" s="145"/>
      <c r="C114" s="48" t="str">
        <f ca="1">IFERROR(__xludf.DUMMYFUNCTION("""COMPUTED_VALUE"""),"III
 18:30-20:00")</f>
        <v>III
 18:30-20:00</v>
      </c>
      <c r="D114" s="27" t="str">
        <f ca="1">IFERROR(__xludf.DUMMYFUNCTION("""COMPUTED_VALUE"""),"L. str. (sem), 
G. Ciudin, 213a/4")</f>
        <v>L. str. (sem), 
G. Ciudin, 213a/4</v>
      </c>
      <c r="E114" s="175" t="str">
        <f ca="1">IFERROR(__xludf.DUMMYFUNCTION("""COMPUTED_VALUE"""),"L. str. (sem), 
G. Ciudin, 213a/4")</f>
        <v>L. str. (sem), 
G. Ciudin, 213a/4</v>
      </c>
      <c r="F114" s="27" t="str">
        <f ca="1">IFERROR(__xludf.DUMMYFUNCTION("""COMPUTED_VALUE"""),"L. str. (sem), 
G. Ciudin, 213a/4")</f>
        <v>L. str. (sem), 
G. Ciudin, 213a/4</v>
      </c>
      <c r="G114" s="27" t="str">
        <f ca="1">IFERROR(__xludf.DUMMYFUNCTION("""COMPUTED_VALUE"""),"L. str. (sem), 
G. Ciudin, 213a/4")</f>
        <v>L. str. (sem), 
G. Ciudin, 213a/4</v>
      </c>
      <c r="H114" s="48" t="str">
        <f ca="1">IFERROR(__xludf.DUMMYFUNCTION("""COMPUTED_VALUE""")," I: BD (lab), 
B. Vișnevschi, 143/4")</f>
        <v xml:space="preserve"> I: BD (lab), 
B. Vișnevschi, 143/4</v>
      </c>
      <c r="I114" s="84" t="str">
        <f ca="1">IFERROR(__xludf.DUMMYFUNCTION("""COMPUTED_VALUE"""),"Testare soft (prel), 
N. Lupu, 214/4")</f>
        <v>Testare soft (prel), 
N. Lupu, 214/4</v>
      </c>
      <c r="J114" s="54" t="str">
        <f ca="1">IFERROR(__xludf.DUMMYFUNCTION("""COMPUTED_VALUE"""),"Met. stat. date (lab), 
V. Trebiș, 350/4")</f>
        <v>Met. stat. date (lab), 
V. Trebiș, 350/4</v>
      </c>
      <c r="K114" s="48" t="str">
        <f ca="1">IFERROR(__xludf.DUMMYFUNCTION("""COMPUTED_VALUE"""),"III
 18:30-20:00")</f>
        <v>III
 18:30-20:00</v>
      </c>
      <c r="L114" s="141"/>
    </row>
    <row r="115" spans="1:12" ht="50.4" x14ac:dyDescent="0.25">
      <c r="A115" s="76"/>
      <c r="B115" s="143" t="str">
        <f ca="1">IFERROR(__xludf.DUMMYFUNCTION("""COMPUTED_VALUE"""),"Vineri,
16.10.2026")</f>
        <v>Vineri,
16.10.2026</v>
      </c>
      <c r="C115" s="82" t="str">
        <f ca="1">IFERROR(__xludf.DUMMYFUNCTION("""COMPUTED_VALUE""")," I
15:00-16:30")</f>
        <v xml:space="preserve"> I
15:00-16:30</v>
      </c>
      <c r="D115" s="31" t="str">
        <f ca="1">IFERROR(__xludf.DUMMYFUNCTION("""COMPUTED_VALUE"""),"Fund. program. (lab), 
N. Nartea, 254/4")</f>
        <v>Fund. program. (lab), 
N. Nartea, 254/4</v>
      </c>
      <c r="E115" s="182"/>
      <c r="F115" s="22" t="str">
        <f ca="1">IFERROR(__xludf.DUMMYFUNCTION("""COMPUTED_VALUE"""),"Etica prof și acad (sem), 
D. Semeniuc, 419/4")</f>
        <v>Etica prof și acad (sem), 
D. Semeniuc, 419/4</v>
      </c>
      <c r="G115" s="80"/>
      <c r="H115" s="81" t="str">
        <f ca="1">IFERROR(__xludf.DUMMYFUNCTION("""COMPUTED_VALUE"""),"Etica prof și acad (prel), 
M. Marin, 113/4")</f>
        <v>Etica prof și acad (prel), 
M. Marin, 113/4</v>
      </c>
      <c r="I115" s="44"/>
      <c r="J115" s="24"/>
      <c r="K115" s="82" t="str">
        <f ca="1">IFERROR(__xludf.DUMMYFUNCTION("""COMPUTED_VALUE""")," I
15:00-16:30")</f>
        <v xml:space="preserve"> I
15:00-16:30</v>
      </c>
      <c r="L115" s="139" t="str">
        <f ca="1">IFERROR(__xludf.DUMMYFUNCTION("""COMPUTED_VALUE"""),"Vineri,
16.10.2026")</f>
        <v>Vineri,
16.10.2026</v>
      </c>
    </row>
    <row r="116" spans="1:12" ht="50.4" x14ac:dyDescent="0.25">
      <c r="A116" s="76"/>
      <c r="B116" s="144"/>
      <c r="C116" s="47" t="str">
        <f ca="1">IFERROR(__xludf.DUMMYFUNCTION("""COMPUTED_VALUE"""),"II
 16:45-18:15")</f>
        <v>II
 16:45-18:15</v>
      </c>
      <c r="D116" s="25"/>
      <c r="E116" s="173"/>
      <c r="F116" s="22" t="str">
        <f ca="1">IFERROR(__xludf.DUMMYFUNCTION("""COMPUTED_VALUE"""),"Tehn. de progr. (lab), 
N. Lupu, 350/4")</f>
        <v>Tehn. de progr. (lab), 
N. Lupu, 350/4</v>
      </c>
      <c r="G116" s="32"/>
      <c r="H116" s="24" t="str">
        <f ca="1">IFERROR(__xludf.DUMMYFUNCTION("""COMPUTED_VALUE"""),"Etica prof și acad (sem), 
M. Marin, 113/4")</f>
        <v>Etica prof și acad (sem), 
M. Marin, 113/4</v>
      </c>
      <c r="I116" s="108"/>
      <c r="J116" s="24" t="str">
        <f ca="1">IFERROR(__xludf.DUMMYFUNCTION("""COMPUTED_VALUE"""),"Met. stat. date (prel), 
V. Trebiș, 213a/4")</f>
        <v>Met. stat. date (prel), 
V. Trebiș, 213a/4</v>
      </c>
      <c r="K116" s="47" t="str">
        <f ca="1">IFERROR(__xludf.DUMMYFUNCTION("""COMPUTED_VALUE"""),"II
 16:45-18:15")</f>
        <v>II
 16:45-18:15</v>
      </c>
      <c r="L116" s="140"/>
    </row>
    <row r="117" spans="1:12" ht="33.6" x14ac:dyDescent="0.25">
      <c r="A117" s="76"/>
      <c r="B117" s="145"/>
      <c r="C117" s="48" t="str">
        <f ca="1">IFERROR(__xludf.DUMMYFUNCTION("""COMPUTED_VALUE"""),"III
 18:30-20:00")</f>
        <v>III
 18:30-20:00</v>
      </c>
      <c r="D117" s="84"/>
      <c r="E117" s="171"/>
      <c r="F117" s="27" t="str">
        <f ca="1">IFERROR(__xludf.DUMMYFUNCTION("""COMPUTED_VALUE"""),"Tehn. de progr. (lab), 
N. Lupu, 350/4")</f>
        <v>Tehn. de progr. (lab), 
N. Lupu, 350/4</v>
      </c>
      <c r="G117" s="28"/>
      <c r="H117" s="54"/>
      <c r="I117" s="27" t="str">
        <f ca="1">IFERROR(__xludf.DUMMYFUNCTION("""COMPUTED_VALUE"""),"Dezv. apl. server (prel), 
C. Bragaru, 113/4")</f>
        <v>Dezv. apl. server (prel), 
C. Bragaru, 113/4</v>
      </c>
      <c r="J117" s="54" t="str">
        <f ca="1">IFERROR(__xludf.DUMMYFUNCTION("""COMPUTED_VALUE"""),"Met. stat. date (lab), 
V. Trebiș, 326/4")</f>
        <v>Met. stat. date (lab), 
V. Trebiș, 326/4</v>
      </c>
      <c r="K117" s="48" t="str">
        <f ca="1">IFERROR(__xludf.DUMMYFUNCTION("""COMPUTED_VALUE"""),"III
 18:30-20:00")</f>
        <v>III
 18:30-20:00</v>
      </c>
      <c r="L117" s="141"/>
    </row>
    <row r="118" spans="1:12" ht="47.25" customHeight="1" x14ac:dyDescent="0.25">
      <c r="A118" s="76"/>
      <c r="B118" s="143" t="str">
        <f ca="1">IFERROR(__xludf.DUMMYFUNCTION("""COMPUTED_VALUE"""),"Sîmbătă,
17.10.2026")</f>
        <v>Sîmbătă,
17.10.2026</v>
      </c>
      <c r="C118" s="43" t="str">
        <f ca="1">IFERROR(__xludf.DUMMYFUNCTION("""COMPUTED_VALUE"""),"I
 08:00-9:30")</f>
        <v>I
 08:00-9:30</v>
      </c>
      <c r="D118" s="25" t="str">
        <f ca="1">IFERROR(__xludf.DUMMYFUNCTION("""COMPUTED_VALUE"""),"L. str. (sem), 
G. Ciudin, 213a/4")</f>
        <v>L. str. (sem), 
G. Ciudin, 213a/4</v>
      </c>
      <c r="E118" s="174" t="str">
        <f ca="1">IFERROR(__xludf.DUMMYFUNCTION("""COMPUTED_VALUE"""),"L. str. (sem), 
G. Ciudin, 213a/4")</f>
        <v>L. str. (sem), 
G. Ciudin, 213a/4</v>
      </c>
      <c r="F118" s="22" t="str">
        <f ca="1">IFERROR(__xludf.DUMMYFUNCTION("""COMPUTED_VALUE"""),"L. str. (sem), 
G. Ciudin, 213a/4")</f>
        <v>L. str. (sem), 
G. Ciudin, 213a/4</v>
      </c>
      <c r="G118" s="22" t="str">
        <f ca="1">IFERROR(__xludf.DUMMYFUNCTION("""COMPUTED_VALUE"""),"L. str. (sem), 
G. Ciudin, 213a/4")</f>
        <v>L. str. (sem), 
G. Ciudin, 213a/4</v>
      </c>
      <c r="H118" s="46" t="str">
        <f ca="1">IFERROR(__xludf.DUMMYFUNCTION("""COMPUTED_VALUE"""),"II: Tehn. de progr. (lab), 
I. Anghelova, 145a/4")</f>
        <v>II: Tehn. de progr. (lab), 
I. Anghelova, 145a/4</v>
      </c>
      <c r="I118" s="25" t="str">
        <f ca="1">IFERROR(__xludf.DUMMYFUNCTION("""COMPUTED_VALUE"""),"Dezv. apl. server (lab), 
A. Gligor, 145/4")</f>
        <v>Dezv. apl. server (lab), 
A. Gligor, 145/4</v>
      </c>
      <c r="J118" s="24"/>
      <c r="K118" s="43" t="str">
        <f ca="1">IFERROR(__xludf.DUMMYFUNCTION("""COMPUTED_VALUE"""),"I
 08:00-9:30")</f>
        <v>I
 08:00-9:30</v>
      </c>
      <c r="L118" s="139" t="str">
        <f ca="1">IFERROR(__xludf.DUMMYFUNCTION("""COMPUTED_VALUE"""),"Sîmbătă,
17.10.2026")</f>
        <v>Sîmbătă,
17.10.2026</v>
      </c>
    </row>
    <row r="119" spans="1:12" ht="33.6" x14ac:dyDescent="0.25">
      <c r="A119" s="76"/>
      <c r="B119" s="144"/>
      <c r="C119" s="47" t="str">
        <f ca="1">IFERROR(__xludf.DUMMYFUNCTION("""COMPUTED_VALUE"""),"II
 09:45-11:15")</f>
        <v>II
 09:45-11:15</v>
      </c>
      <c r="D119" s="25" t="str">
        <f ca="1">IFERROR(__xludf.DUMMYFUNCTION("""COMPUTED_VALUE"""),"L. str. (sem), 
G. Ciudin, 213a/4")</f>
        <v>L. str. (sem), 
G. Ciudin, 213a/4</v>
      </c>
      <c r="E119" s="178" t="str">
        <f ca="1">IFERROR(__xludf.DUMMYFUNCTION("""COMPUTED_VALUE"""),"L. str. (sem), 
G. Ciudin, 213a/4")</f>
        <v>L. str. (sem), 
G. Ciudin, 213a/4</v>
      </c>
      <c r="F119" s="33" t="str">
        <f ca="1">IFERROR(__xludf.DUMMYFUNCTION("""COMPUTED_VALUE"""),"L. str. (sem), 
G. Ciudin, 213a/4")</f>
        <v>L. str. (sem), 
G. Ciudin, 213a/4</v>
      </c>
      <c r="G119" s="33" t="str">
        <f ca="1">IFERROR(__xludf.DUMMYFUNCTION("""COMPUTED_VALUE"""),"L. str. (sem), 
G. Ciudin, 213a/4")</f>
        <v>L. str. (sem), 
G. Ciudin, 213a/4</v>
      </c>
      <c r="H119" s="92" t="str">
        <f ca="1">IFERROR(__xludf.DUMMYFUNCTION("""COMPUTED_VALUE"""),"II: Tehn. de progr. (lab), 
I. Anghelova, 145a/4")</f>
        <v>II: Tehn. de progr. (lab), 
I. Anghelova, 145a/4</v>
      </c>
      <c r="I119" s="25" t="str">
        <f ca="1">IFERROR(__xludf.DUMMYFUNCTION("""COMPUTED_VALUE"""),"Dezv. apl. server (prel), 
C. Bragaru, 401/4")</f>
        <v>Dezv. apl. server (prel), 
C. Bragaru, 401/4</v>
      </c>
      <c r="J119" s="24"/>
      <c r="K119" s="47" t="str">
        <f ca="1">IFERROR(__xludf.DUMMYFUNCTION("""COMPUTED_VALUE"""),"II
 09:45-11:15")</f>
        <v>II
 09:45-11:15</v>
      </c>
      <c r="L119" s="140"/>
    </row>
    <row r="120" spans="1:12" ht="33.6" x14ac:dyDescent="0.25">
      <c r="A120" s="76"/>
      <c r="B120" s="144"/>
      <c r="C120" s="47" t="str">
        <f ca="1">IFERROR(__xludf.DUMMYFUNCTION("""COMPUTED_VALUE"""),"III
 11:30-13:00")</f>
        <v>III
 11:30-13:00</v>
      </c>
      <c r="D120" s="22" t="str">
        <f ca="1">IFERROR(__xludf.DUMMYFUNCTION("""COMPUTED_VALUE"""),"Teoria prob. (prel), 
V. Popa, 415/4")</f>
        <v>Teoria prob. (prel), 
V. Popa, 415/4</v>
      </c>
      <c r="E120" s="173" t="str">
        <f ca="1">IFERROR(__xludf.DUMMYFUNCTION("""COMPUTED_VALUE"""),"Tehn. de progr. (lab), 
N. Lupu, 145a/4")</f>
        <v>Tehn. de progr. (lab), 
N. Lupu, 145a/4</v>
      </c>
      <c r="F120" s="136"/>
      <c r="G120" s="136"/>
      <c r="H120" s="49" t="str">
        <f ca="1">IFERROR(__xludf.DUMMYFUNCTION("""COMPUTED_VALUE"""),"L. str. (sem), 
G. Ciudin, 213a/4")</f>
        <v>L. str. (sem), 
G. Ciudin, 213a/4</v>
      </c>
      <c r="I120" s="25" t="str">
        <f ca="1">IFERROR(__xludf.DUMMYFUNCTION("""COMPUTED_VALUE"""),"Dezv. apl. server (prel), 
C. Bragaru, 401/4")</f>
        <v>Dezv. apl. server (prel), 
C. Bragaru, 401/4</v>
      </c>
      <c r="J120" s="24"/>
      <c r="K120" s="47" t="str">
        <f ca="1">IFERROR(__xludf.DUMMYFUNCTION("""COMPUTED_VALUE"""),"III
 11:30-13:00")</f>
        <v>III
 11:30-13:00</v>
      </c>
      <c r="L120" s="140"/>
    </row>
    <row r="121" spans="1:12" ht="33.6" x14ac:dyDescent="0.25">
      <c r="A121" s="76"/>
      <c r="B121" s="144"/>
      <c r="C121" s="47" t="str">
        <f ca="1">IFERROR(__xludf.DUMMYFUNCTION("""COMPUTED_VALUE"""),"IV
 13:15-14:45")</f>
        <v>IV
 13:15-14:45</v>
      </c>
      <c r="D121" s="22" t="str">
        <f ca="1">IFERROR(__xludf.DUMMYFUNCTION("""COMPUTED_VALUE"""),"Teoria prob. (prel), 
V. Popa, 415/4")</f>
        <v>Teoria prob. (prel), 
V. Popa, 415/4</v>
      </c>
      <c r="E121" s="173" t="str">
        <f ca="1">IFERROR(__xludf.DUMMYFUNCTION("""COMPUTED_VALUE"""),"Tehn. de progr. (lab), 
N. Lupu, 145a/4")</f>
        <v>Tehn. de progr. (lab), 
N. Lupu, 145a/4</v>
      </c>
      <c r="F121" s="32"/>
      <c r="G121" s="136"/>
      <c r="H121" s="24" t="str">
        <f ca="1">IFERROR(__xludf.DUMMYFUNCTION("""COMPUTED_VALUE"""),"L. str. (sem), 
G. Ciudin, 213a/4")</f>
        <v>L. str. (sem), 
G. Ciudin, 213a/4</v>
      </c>
      <c r="I121" s="32"/>
      <c r="J121" s="49"/>
      <c r="K121" s="47" t="str">
        <f ca="1">IFERROR(__xludf.DUMMYFUNCTION("""COMPUTED_VALUE"""),"IV
 13:15-14:45")</f>
        <v>IV
 13:15-14:45</v>
      </c>
      <c r="L121" s="140"/>
    </row>
    <row r="122" spans="1:12" ht="16.8" x14ac:dyDescent="0.25">
      <c r="A122" s="76"/>
      <c r="B122" s="144"/>
      <c r="C122" s="47" t="str">
        <f ca="1">IFERROR(__xludf.DUMMYFUNCTION("""COMPUTED_VALUE""")," V
15:00-16:30")</f>
        <v xml:space="preserve"> V
15:00-16:30</v>
      </c>
      <c r="D122" s="25"/>
      <c r="E122" s="173"/>
      <c r="F122" s="32"/>
      <c r="G122" s="22"/>
      <c r="H122" s="49"/>
      <c r="I122" s="32"/>
      <c r="J122" s="49"/>
      <c r="K122" s="47" t="str">
        <f ca="1">IFERROR(__xludf.DUMMYFUNCTION("""COMPUTED_VALUE""")," V
15:00-16:30")</f>
        <v xml:space="preserve"> V
15:00-16:30</v>
      </c>
      <c r="L122" s="140"/>
    </row>
    <row r="123" spans="1:12" ht="16.8" x14ac:dyDescent="0.25">
      <c r="A123" s="76"/>
      <c r="B123" s="145"/>
      <c r="C123" s="48" t="str">
        <f ca="1">IFERROR(__xludf.DUMMYFUNCTION("""COMPUTED_VALUE"""),"VI
 16:45-18:15")</f>
        <v>VI
 16:45-18:15</v>
      </c>
      <c r="D123" s="84"/>
      <c r="E123" s="171"/>
      <c r="F123" s="28"/>
      <c r="G123" s="27"/>
      <c r="H123" s="89"/>
      <c r="I123" s="28"/>
      <c r="J123" s="89"/>
      <c r="K123" s="48" t="str">
        <f ca="1">IFERROR(__xludf.DUMMYFUNCTION("""COMPUTED_VALUE"""),"VI
 16:45-18:15")</f>
        <v>VI
 16:45-18:15</v>
      </c>
      <c r="L123" s="141"/>
    </row>
    <row r="124" spans="1:12" ht="16.8" hidden="1" x14ac:dyDescent="0.25">
      <c r="A124" s="76"/>
      <c r="B124" s="143"/>
      <c r="C124" s="43"/>
      <c r="D124" s="25"/>
      <c r="E124" s="196"/>
      <c r="F124" s="25"/>
      <c r="G124" s="25"/>
      <c r="H124" s="47"/>
      <c r="I124" s="25"/>
      <c r="J124" s="24"/>
      <c r="K124" s="43"/>
      <c r="L124" s="139"/>
    </row>
    <row r="125" spans="1:12" ht="16.8" hidden="1" x14ac:dyDescent="0.25">
      <c r="A125" s="76"/>
      <c r="B125" s="144"/>
      <c r="C125" s="47"/>
      <c r="D125" s="25"/>
      <c r="E125" s="196"/>
      <c r="F125" s="25"/>
      <c r="G125" s="25"/>
      <c r="H125" s="47"/>
      <c r="I125" s="25"/>
      <c r="J125" s="24"/>
      <c r="K125" s="47"/>
      <c r="L125" s="140"/>
    </row>
    <row r="126" spans="1:12" ht="16.8" hidden="1" x14ac:dyDescent="0.25">
      <c r="A126" s="76"/>
      <c r="B126" s="144"/>
      <c r="C126" s="47"/>
      <c r="D126" s="25"/>
      <c r="E126" s="197"/>
      <c r="F126" s="136"/>
      <c r="G126" s="136"/>
      <c r="H126" s="53"/>
      <c r="I126" s="35"/>
      <c r="J126" s="24"/>
      <c r="K126" s="47"/>
      <c r="L126" s="140"/>
    </row>
    <row r="127" spans="1:12" ht="16.8" hidden="1" x14ac:dyDescent="0.25">
      <c r="A127" s="76"/>
      <c r="B127" s="144"/>
      <c r="C127" s="47"/>
      <c r="D127" s="25"/>
      <c r="E127" s="173"/>
      <c r="F127" s="32"/>
      <c r="G127" s="136"/>
      <c r="H127" s="53"/>
      <c r="I127" s="112"/>
      <c r="J127" s="49"/>
      <c r="K127" s="47"/>
      <c r="L127" s="140"/>
    </row>
    <row r="128" spans="1:12" ht="16.8" hidden="1" x14ac:dyDescent="0.25">
      <c r="A128" s="76"/>
      <c r="B128" s="144"/>
      <c r="C128" s="47"/>
      <c r="D128" s="25"/>
      <c r="E128" s="173"/>
      <c r="F128" s="32"/>
      <c r="G128" s="22"/>
      <c r="H128" s="49"/>
      <c r="I128" s="32"/>
      <c r="J128" s="49"/>
      <c r="K128" s="47"/>
      <c r="L128" s="140"/>
    </row>
    <row r="129" spans="1:12" ht="16.8" hidden="1" x14ac:dyDescent="0.25">
      <c r="A129" s="76"/>
      <c r="B129" s="145"/>
      <c r="C129" s="48"/>
      <c r="D129" s="84"/>
      <c r="E129" s="171"/>
      <c r="F129" s="28"/>
      <c r="G129" s="27"/>
      <c r="H129" s="89"/>
      <c r="I129" s="28"/>
      <c r="J129" s="89"/>
      <c r="K129" s="48"/>
      <c r="L129" s="141"/>
    </row>
    <row r="130" spans="1:12" ht="13.2" x14ac:dyDescent="0.25">
      <c r="A130" s="137"/>
      <c r="B130" s="137"/>
      <c r="C130" s="137"/>
      <c r="D130" s="138"/>
      <c r="E130" s="198"/>
      <c r="F130" s="138"/>
      <c r="G130" s="138"/>
      <c r="H130" s="138"/>
      <c r="I130" s="138"/>
      <c r="J130" s="138"/>
      <c r="K130" s="137"/>
      <c r="L130" s="137"/>
    </row>
  </sheetData>
  <mergeCells count="71">
    <mergeCell ref="E99:H99"/>
    <mergeCell ref="I99:J99"/>
    <mergeCell ref="L101:L103"/>
    <mergeCell ref="L8:L11"/>
    <mergeCell ref="L12:L14"/>
    <mergeCell ref="L15:L18"/>
    <mergeCell ref="L19:L21"/>
    <mergeCell ref="L22:L27"/>
    <mergeCell ref="L28:L33"/>
    <mergeCell ref="L37:L39"/>
    <mergeCell ref="E67:H67"/>
    <mergeCell ref="I67:J67"/>
    <mergeCell ref="L79:L82"/>
    <mergeCell ref="L83:L85"/>
    <mergeCell ref="L86:L91"/>
    <mergeCell ref="L5:L7"/>
    <mergeCell ref="B35:C36"/>
    <mergeCell ref="E35:H35"/>
    <mergeCell ref="I35:J35"/>
    <mergeCell ref="B5:B7"/>
    <mergeCell ref="B8:B11"/>
    <mergeCell ref="B12:B14"/>
    <mergeCell ref="B15:B18"/>
    <mergeCell ref="B19:B21"/>
    <mergeCell ref="B22:B27"/>
    <mergeCell ref="B28:B33"/>
    <mergeCell ref="B1:D1"/>
    <mergeCell ref="E1:H1"/>
    <mergeCell ref="I1:J1"/>
    <mergeCell ref="B2:C3"/>
    <mergeCell ref="D2:H2"/>
    <mergeCell ref="I2:J2"/>
    <mergeCell ref="B115:B117"/>
    <mergeCell ref="B118:B123"/>
    <mergeCell ref="B124:B129"/>
    <mergeCell ref="B69:B71"/>
    <mergeCell ref="B72:B75"/>
    <mergeCell ref="B76:B78"/>
    <mergeCell ref="B79:B82"/>
    <mergeCell ref="B83:B85"/>
    <mergeCell ref="B86:B91"/>
    <mergeCell ref="B92:B97"/>
    <mergeCell ref="B99:C100"/>
    <mergeCell ref="B101:B103"/>
    <mergeCell ref="B54:B59"/>
    <mergeCell ref="B60:B65"/>
    <mergeCell ref="B104:B107"/>
    <mergeCell ref="B108:B110"/>
    <mergeCell ref="B111:B114"/>
    <mergeCell ref="B67:C68"/>
    <mergeCell ref="B37:B39"/>
    <mergeCell ref="B40:B43"/>
    <mergeCell ref="B44:B46"/>
    <mergeCell ref="B47:B50"/>
    <mergeCell ref="B51:B53"/>
    <mergeCell ref="L115:L117"/>
    <mergeCell ref="L118:L123"/>
    <mergeCell ref="L124:L129"/>
    <mergeCell ref="L40:L43"/>
    <mergeCell ref="L44:L46"/>
    <mergeCell ref="L47:L50"/>
    <mergeCell ref="L51:L53"/>
    <mergeCell ref="L54:L59"/>
    <mergeCell ref="L60:L65"/>
    <mergeCell ref="L69:L71"/>
    <mergeCell ref="L92:L97"/>
    <mergeCell ref="L72:L75"/>
    <mergeCell ref="L76:L78"/>
    <mergeCell ref="L104:L107"/>
    <mergeCell ref="L108:L110"/>
    <mergeCell ref="L111:L114"/>
  </mergeCells>
  <conditionalFormatting sqref="D5:D129 H6 J6 E6:G129 I6:I129 J8:J10 H8:H129 J12:J13 J15:J17 J19:J20 J22:J129">
    <cfRule type="containsText" dxfId="6" priority="6" operator="containsText" text=", /4">
      <formula>NOT(ISERROR(SEARCH((", /4"),(D5))))</formula>
    </cfRule>
  </conditionalFormatting>
  <conditionalFormatting sqref="D2:G130 I2:I130 H8:H130 J15:J17 J22:J130 H2:H6 J2:J6 J8:J10 J12:J13 J19:J20">
    <cfRule type="containsText" dxfId="5" priority="4" operator="containsText" text="ll">
      <formula>NOT(ISERROR(SEARCH(("ll"),(D2))))</formula>
    </cfRule>
  </conditionalFormatting>
  <conditionalFormatting sqref="I6:I7 I10:I12 D11 D14 I14 I16 J17 I18:I26 D22 J39 D43 J43 J46 J49:J50 I50 D51 J53 I53:I55 D54 I57 I69:I89 H71 J71 D75 J75 J78 J81:J82 J85 D85:D86 J102:J103 I102:I120 J107 J114 J117 D118 I124:I126">
    <cfRule type="containsText" dxfId="4" priority="1" operator="containsText" text="mm">
      <formula>NOT(ISERROR(SEARCH(("mm"),(I6))))</formula>
    </cfRule>
  </conditionalFormatting>
  <conditionalFormatting sqref="J1:J6 I1:I129 H2:H6 D2:G129 J8:J10 H8:H129 J12:J13 J15:J17 J19:J20 J22:J129 A1:C1 K1:L1">
    <cfRule type="containsText" dxfId="3" priority="5" operator="containsText" text="ll">
      <formula>NOT(ISERROR(SEARCH(("ll"),(A1))))</formula>
    </cfRule>
  </conditionalFormatting>
  <conditionalFormatting sqref="K6:K129 L8:L129">
    <cfRule type="cellIs" dxfId="2" priority="2" operator="greaterThan">
      <formula>1</formula>
    </cfRule>
    <cfRule type="cellIs" dxfId="1" priority="3" operator="equal">
      <formula>1</formula>
    </cfRule>
  </conditionalFormatting>
  <conditionalFormatting sqref="K35:L36 K67:L68 K99:L100 A2:C3 K2:L3 A35:C36 A67:C68 A99:C100">
    <cfRule type="notContainsBlanks" dxfId="0" priority="7">
      <formula>LEN(TRIM(A2))&gt;0</formula>
    </cfRule>
  </conditionalFormatting>
  <dataValidations count="1">
    <dataValidation type="list" allowBlank="1" showDropDown="1" sqref="I5:J9 J10 I11:J15 J16:J17 I18:J25 J26 I27:J33 I37:J44 I45 I46:J49 J50 I51:J57 J58 I59:J65 I69:J76 J77 I78:J80 J81 I82:J82 I83 I84:J97 I101:J104 I105 I106:J109 I110 I111:J111 I113:J115 J116 I117:J130 D6:D7 D9:D15 D17:D21 D24:D36 D38:D53 D56:D60 D65:D70 D72:D76 D88:D90 D92:D101 D104:D108 D126:D130 E5:H21 D22:H23 E24:H25 E26:G26 E27:H34 E35 E36:H53 D54:H55 E56:H63 G64:H65 E66:H66 E67 E68:H76 D77:H87 E88:H93 E94:G95 E96:H98 E99 E100:H108 D109:H125 E126:G127 E128:H130" xr:uid="{00000000-0002-0000-0000-000000000000}"/>
  </dataValidations>
  <printOptions horizontalCentered="1"/>
  <pageMargins left="0.39370078740157477" right="0.39370078740157477" top="0.39370078740157477" bottom="0.39370078740157477" header="0" footer="0"/>
  <pageSetup paperSize="9" scale="63" pageOrder="overThenDown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Colesnic Nicolai</cp:lastModifiedBy>
  <dcterms:modified xsi:type="dcterms:W3CDTF">2026-10-02T07:31:11Z</dcterms:modified>
</cp:coreProperties>
</file>